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0" documentId="14_{682A7E4B-1055-4B0F-805D-134F59E89DE5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D7" i="9"/>
  <c r="D6" i="9"/>
  <c r="D5" i="9"/>
  <c r="D4" i="9"/>
  <c r="D3" i="9"/>
  <c r="D8" i="8"/>
  <c r="D7" i="8"/>
  <c r="D6" i="8"/>
  <c r="D5" i="8"/>
  <c r="D4" i="8"/>
  <c r="D3" i="8"/>
  <c r="B20" i="7"/>
  <c r="B17" i="7"/>
  <c r="B21" i="7" s="1"/>
  <c r="B16" i="7"/>
  <c r="B19" i="7" s="1"/>
  <c r="B18" i="7" l="1"/>
</calcChain>
</file>

<file path=xl/sharedStrings.xml><?xml version="1.0" encoding="utf-8"?>
<sst xmlns="http://schemas.openxmlformats.org/spreadsheetml/2006/main" count="381" uniqueCount="245">
  <si>
    <t>HEADER — Dashboard Title &amp; PM</t>
  </si>
  <si>
    <t>Field</t>
  </si>
  <si>
    <t>Value</t>
  </si>
  <si>
    <t>Dashboard Title</t>
  </si>
  <si>
    <t>WESTERN REGION SDCC PROJECT DASHBOARD | PE-286</t>
  </si>
  <si>
    <t>Project Code</t>
  </si>
  <si>
    <t>PE-286</t>
  </si>
  <si>
    <t>Region</t>
  </si>
  <si>
    <t>Western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</si>
  <si>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</si>
  <si>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</si>
  <si>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</si>
  <si>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</si>
  <si>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</si>
  <si>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</si>
  <si>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24-Jul-24</t>
  </si>
  <si>
    <t>Madinah Handover</t>
  </si>
  <si>
    <t>26-Aug-24</t>
  </si>
  <si>
    <t>Abha Handover</t>
  </si>
  <si>
    <t>06-Oct-24</t>
  </si>
  <si>
    <t>Jizan Handover</t>
  </si>
  <si>
    <t>02-Mar-25</t>
  </si>
  <si>
    <t>Jeddah / Makkah HO</t>
  </si>
  <si>
    <t>22-Jun-25</t>
  </si>
  <si>
    <t>Contractual TCC</t>
  </si>
  <si>
    <t>24-Jul-26</t>
  </si>
  <si>
    <t>Highlighted orange in dashboard</t>
  </si>
  <si>
    <t>Expected TCC</t>
  </si>
  <si>
    <t>15-Oct-26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</si>
  <si>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</si>
  <si>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</si>
  <si>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</si>
  <si>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</si>
  <si>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</si>
  <si>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</si>
  <si>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</si>
  <si>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</si>
  <si>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</si>
  <si>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</si>
  <si>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</si>
  <si>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</si>
  <si>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45%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</si>
  <si>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</si>
  <si>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</si>
  <si>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</si>
  <si>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</si>
  <si>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</si>
  <si>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</si>
  <si>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</si>
  <si>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</si>
  <si>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</si>
  <si>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</si>
  <si>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~55%</t>
  </si>
  <si>
    <t>Amber in dashboard</t>
  </si>
  <si>
    <t>EOT Status</t>
  </si>
  <si>
    <t>Not Submitted</t>
  </si>
  <si>
    <t>Red in dashboard</t>
  </si>
  <si>
    <t>COLLECTION INFO (SAR)</t>
  </si>
  <si>
    <t>Tag %</t>
  </si>
  <si>
    <t>Color in Dashboard</t>
  </si>
  <si>
    <t>Invoiceable Amount</t>
  </si>
  <si>
    <t>53%</t>
  </si>
  <si>
    <t>Green</t>
  </si>
  <si>
    <t>Submitted Invoices</t>
  </si>
  <si>
    <t>39%</t>
  </si>
  <si>
    <t>Amber</t>
  </si>
  <si>
    <t>Approved Invoices</t>
  </si>
  <si>
    <t>Collected Adv.</t>
  </si>
  <si>
    <t>Normal</t>
  </si>
  <si>
    <t>Col. Amount Inc Adv</t>
  </si>
  <si>
    <t>18%</t>
  </si>
  <si>
    <t>Billing vs POC</t>
  </si>
  <si>
    <t>39% / 40.9%</t>
  </si>
  <si>
    <t>Text field — shown as-is</t>
  </si>
  <si>
    <t>Cash Collected Gap</t>
  </si>
  <si>
    <t>21 pts behind</t>
  </si>
  <si>
    <t>Red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</si>
  <si>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</si>
  <si>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</si>
  <si>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</si>
  <si>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</si>
  <si>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</si>
  <si>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</si>
  <si>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</si>
  <si>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</si>
  <si>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</si>
  <si>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52.6%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</si>
  <si>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</si>
  <si>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</si>
  <si>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</si>
  <si>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</si>
  <si>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</si>
  <si>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</si>
  <si>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</si>
  <si>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</si>
  <si>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</si>
  <si>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</si>
  <si>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</si>
  <si>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</si>
  <si>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80%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</si>
  <si>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</si>
  <si>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</si>
  <si>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</si>
  <si>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</si>
  <si>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</si>
  <si>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</si>
  <si>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</si>
  <si>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</si>
  <si>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</si>
  <si>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</si>
  <si>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</si>
  <si>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</si>
  <si>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</si>
  <si>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</si>
  <si>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</si>
  <si>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</si>
  <si>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</si>
  <si>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</si>
  <si>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</si>
  <si>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</si>
  <si>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</si>
  <si>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</si>
  <si>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</si>
  <si>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</si>
  <si>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</si>
  <si>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</si>
  <si>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</si>
  <si>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</si>
  <si>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</si>
  <si>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</si>
  <si>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</si>
  <si>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</si>
  <si>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</si>
  <si>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</si>
  <si>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</si>
  <si>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</si>
  <si>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</si>
  <si>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</si>
  <si>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</si>
  <si>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</si>
  <si>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</si>
  <si>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</si>
  <si>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</si>
  <si>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</si>
  <si>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</si>
  <si>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</si>
  <si>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</si>
  <si>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</si>
  <si>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</si>
  <si>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</si>
  <si>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</si>
  <si>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Jizan trails the plan most; Makkah leads on actual completion.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</si>
  <si>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</si>
  <si>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</si>
  <si>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</si>
  <si>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</si>
  <si>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</si>
  <si>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</si>
  <si>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</si>
  <si>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</si>
  <si>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Nov-24</t>
  </si>
  <si>
    <t>YES</t>
  </si>
  <si>
    <t>Project Start</t>
  </si>
  <si>
    <t>above</t>
  </si>
  <si>
    <t>NO</t>
  </si>
  <si>
    <t>First month</t>
  </si>
  <si>
    <t>Dec-24</t>
  </si>
  <si>
    <t>Jan-25</t>
  </si>
  <si>
    <t>Feb-25</t>
  </si>
  <si>
    <t>Mar-25</t>
  </si>
  <si>
    <t>MADINAH P.C.</t>
  </si>
  <si>
    <t>Apr-25</t>
  </si>
  <si>
    <t>ABHA P.C.</t>
  </si>
  <si>
    <t>below</t>
  </si>
  <si>
    <t>Flag goes below bar</t>
  </si>
  <si>
    <t>May-25</t>
  </si>
  <si>
    <t>Jun-25</t>
  </si>
  <si>
    <t>JIZAN P.C.</t>
  </si>
  <si>
    <t>Jul-25</t>
  </si>
  <si>
    <t>Aug-25</t>
  </si>
  <si>
    <t>Sep-25</t>
  </si>
  <si>
    <t>Oct-25</t>
  </si>
  <si>
    <t>Nov-25</t>
  </si>
  <si>
    <t>Stringing Start</t>
  </si>
  <si>
    <t>Dec-25</t>
  </si>
  <si>
    <t>Jan-26</t>
  </si>
  <si>
    <t>Feb-26</t>
  </si>
  <si>
    <t>Mar-26</t>
  </si>
  <si>
    <t>Apr-26</t>
  </si>
  <si>
    <t>Orange cell</t>
  </si>
  <si>
    <t>May-26</t>
  </si>
  <si>
    <t>Jun-26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</si>
  <si>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</si>
  <si>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</si>
  <si>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</si>
  <si>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</si>
  <si>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</si>
  <si>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</si>
  <si>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</si>
  <si>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</si>
  <si>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</si>
  <si>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Shortage of tower materials by SEC (02 No's)</t>
  </si>
  <si>
    <t>SEC</t>
  </si>
  <si>
    <t>Escalated to SEC-PDC; shortage list shared to push supplier. Continuous follow-up to expedite delivery.</t>
  </si>
  <si>
    <t>HIGH</t>
  </si>
  <si>
    <t>Delay in delivery of special towers by Alfanar</t>
  </si>
  <si>
    <t>Energiya</t>
  </si>
  <si>
    <t>12 of 14 towers received; remaining 2 (UDE-II) in progress. Continuous follow-up with supplier.</t>
  </si>
  <si>
    <t>Delay in UGC works near TADCO S/S</t>
  </si>
  <si>
    <t>SEC advised to start excavation from 26-Apr-26. Continuous follow-up to avoid further delay.</t>
  </si>
  <si>
    <t>MEDIUM</t>
  </si>
  <si>
    <t>EQUIPMENT STATUS</t>
  </si>
  <si>
    <t>Vendor</t>
  </si>
  <si>
    <t>PO</t>
  </si>
  <si>
    <t>GAFM</t>
  </si>
  <si>
    <t>FAT</t>
  </si>
  <si>
    <t>Delivery</t>
  </si>
  <si>
    <t>Status</t>
  </si>
  <si>
    <t>Insulator</t>
  </si>
  <si>
    <t>Zape</t>
  </si>
  <si>
    <t>Issued</t>
  </si>
  <si>
    <t>OK</t>
  </si>
  <si>
    <t>Cable termination</t>
  </si>
  <si>
    <t>PFISTER</t>
  </si>
  <si>
    <t>Lattice Steel Gantry</t>
  </si>
  <si>
    <t>Line hardware</t>
  </si>
  <si>
    <t>Dalekovod</t>
  </si>
  <si>
    <t>Dampers</t>
  </si>
  <si>
    <t>PTE</t>
  </si>
  <si>
    <t>Power Cables</t>
  </si>
  <si>
    <t>Bahara</t>
  </si>
  <si>
    <t>Surge Arrester</t>
  </si>
  <si>
    <t>Tridelta</t>
  </si>
  <si>
    <t>Lattice Steel Tower</t>
  </si>
  <si>
    <t>98%</t>
  </si>
  <si>
    <t>DELAYED</t>
  </si>
  <si>
    <t>FOOTER — Classification &amp; Branding</t>
  </si>
  <si>
    <t>Classification</t>
  </si>
  <si>
    <t>Public</t>
  </si>
  <si>
    <t>Prepared Date</t>
  </si>
  <si>
    <t>18 Apr 2026</t>
  </si>
  <si>
    <t>Department</t>
  </si>
  <si>
    <t>alfanar OHTL Projects</t>
  </si>
  <si>
    <t>Brand Name</t>
  </si>
  <si>
    <t>alfanar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</si>
</sst>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B2733"/>
      <name val="Arial"/>
      <charset val="1"/>
    </font>
    <font>
      <b/>
      <sz val="10"/>
      <color rgb="FFC0181D"/>
      <name val="Arial"/>
      <charset val="1"/>
    </font>
    <font>
      <sz val="9"/>
      <color rgb="FF6C7C8C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C85F10"/>
        <bgColor rgb="FFE87722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9" fontId="3" fillId="5" borderId="1" xfId="0" applyNumberFormat="1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2" t="s">
        <v>0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2</v>
      </c>
    </row>
    <row r="3" spans="1:8" ht="15.75" customHeight="1" x14ac:dyDescent="0.25">
      <c r="A3" s="4" t="s">
        <v>3</v>
      </c>
      <c r="B3" s="5" t="s">
        <v>4</v>
      </c>
    </row>
    <row r="4" spans="1:8" ht="15.75" customHeight="1" x14ac:dyDescent="0.25">
      <c r="A4" s="6" t="s">
        <v>5</v>
      </c>
      <c r="B4" s="5" t="s">
        <v>6</v>
      </c>
    </row>
    <row r="5" spans="1:8" ht="15.75" customHeight="1" x14ac:dyDescent="0.25">
      <c r="A5" s="4" t="s">
        <v>7</v>
      </c>
      <c r="B5" s="5" t="s">
        <v>8</v>
      </c>
    </row>
    <row r="6" spans="1:8" ht="15.75" customHeight="1" x14ac:dyDescent="0.25">
      <c r="A6" s="6" t="s">
        <v>9</v>
      </c>
      <c r="B6" s="5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2" t="s">
        <v>11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12</v>
      </c>
      <c r="C2" s="3" t="s">
        <v>13</v>
      </c>
    </row>
    <row r="3" spans="1:8" ht="15.75" customHeight="1" x14ac:dyDescent="0.25">
      <c r="A3" s="4" t="s">
        <v>14</v>
      </c>
      <c r="B3" s="5" t="s">
        <v>15</v>
      </c>
      <c r="C3" s="4"/>
    </row>
    <row r="4" spans="1:8" ht="15.75" customHeight="1" x14ac:dyDescent="0.25">
      <c r="A4" s="6" t="s">
        <v>16</v>
      </c>
      <c r="B4" s="5" t="s">
        <v>17</v>
      </c>
      <c r="C4" s="6"/>
    </row>
    <row r="5" spans="1:8" ht="15.75" customHeight="1" x14ac:dyDescent="0.25">
      <c r="A5" s="4" t="s">
        <v>18</v>
      </c>
      <c r="B5" s="5" t="s">
        <v>19</v>
      </c>
      <c r="C5" s="4"/>
    </row>
    <row r="6" spans="1:8" ht="15.75" customHeight="1" x14ac:dyDescent="0.25">
      <c r="A6" s="6" t="s">
        <v>20</v>
      </c>
      <c r="B6" s="5" t="s">
        <v>21</v>
      </c>
      <c r="C6" s="6"/>
    </row>
    <row r="7" spans="1:8" ht="15.75" customHeight="1" x14ac:dyDescent="0.25">
      <c r="A7" s="4" t="s">
        <v>22</v>
      </c>
      <c r="B7" s="5" t="s">
        <v>23</v>
      </c>
      <c r="C7" s="4"/>
    </row>
    <row r="8" spans="1:8" ht="15.75" customHeight="1" x14ac:dyDescent="0.25">
      <c r="A8" s="6" t="s">
        <v>24</v>
      </c>
      <c r="B8" s="5" t="s">
        <v>25</v>
      </c>
      <c r="C8" s="6" t="s">
        <v>26</v>
      </c>
    </row>
    <row r="9" spans="1:8" ht="15.75" customHeight="1" x14ac:dyDescent="0.25">
      <c r="A9" s="4" t="s">
        <v>27</v>
      </c>
      <c r="B9" s="5" t="s">
        <v>28</v>
      </c>
      <c r="C9" s="4" t="s">
        <v>29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2" t="s">
        <v>30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31</v>
      </c>
      <c r="C2" s="3" t="s">
        <v>32</v>
      </c>
      <c r="D2" s="3" t="s">
        <v>13</v>
      </c>
    </row>
    <row r="3" spans="1:8" ht="15.75" customHeight="1" x14ac:dyDescent="0.25">
      <c r="A3" s="4" t="s">
        <v>33</v>
      </c>
      <c r="B3" s="5">
        <v>388016486</v>
      </c>
      <c r="C3" s="4"/>
      <c r="D3" s="4"/>
    </row>
    <row r="4" spans="1:8" ht="15.75" customHeight="1" x14ac:dyDescent="0.25">
      <c r="A4" s="6" t="s">
        <v>34</v>
      </c>
      <c r="B4" s="5">
        <v>0</v>
      </c>
      <c r="C4" s="6"/>
      <c r="D4" s="6"/>
    </row>
    <row r="5" spans="1:8" ht="15.75" customHeight="1" x14ac:dyDescent="0.25">
      <c r="A5" s="4" t="s">
        <v>35</v>
      </c>
      <c r="B5" s="5">
        <v>0</v>
      </c>
      <c r="C5" s="4"/>
      <c r="D5" s="4"/>
    </row>
    <row r="6" spans="1:8" ht="15.75" customHeight="1" x14ac:dyDescent="0.25">
      <c r="A6" s="6" t="s">
        <v>36</v>
      </c>
      <c r="B6" s="5">
        <v>0</v>
      </c>
      <c r="C6" s="6"/>
      <c r="D6" s="6"/>
    </row>
    <row r="7" spans="1:8" ht="15.75" customHeight="1" x14ac:dyDescent="0.25">
      <c r="A7" s="4" t="s">
        <v>37</v>
      </c>
      <c r="B7" s="5">
        <v>388016486</v>
      </c>
      <c r="C7" s="4"/>
      <c r="D7" s="4" t="s">
        <v>38</v>
      </c>
    </row>
    <row r="8" spans="1:8" ht="15.75" customHeight="1" x14ac:dyDescent="0.25">
      <c r="A8" s="6" t="s">
        <v>39</v>
      </c>
      <c r="B8" s="5">
        <v>34426811</v>
      </c>
      <c r="C8" s="6"/>
      <c r="D8" s="6"/>
    </row>
    <row r="9" spans="1:8" ht="15.75" customHeight="1" x14ac:dyDescent="0.25">
      <c r="A9" s="4" t="s">
        <v>40</v>
      </c>
      <c r="B9" s="5">
        <v>15596872</v>
      </c>
      <c r="C9" s="4" t="s">
        <v>41</v>
      </c>
      <c r="D9" s="4" t="s">
        <v>42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9"/>
  <sheetViews>
    <sheetView tabSelected="1"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2" t="s">
        <v>43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2</v>
      </c>
      <c r="C2" s="3" t="s">
        <v>32</v>
      </c>
      <c r="D2" s="3" t="s">
        <v>13</v>
      </c>
    </row>
    <row r="3" spans="1:8" ht="15.75" customHeight="1" x14ac:dyDescent="0.25">
      <c r="A3" s="4" t="s">
        <v>44</v>
      </c>
      <c r="B3" s="5">
        <v>355587125</v>
      </c>
      <c r="C3" s="4"/>
      <c r="D3" s="4" t="s">
        <v>45</v>
      </c>
    </row>
    <row r="4" spans="1:8" ht="15.75" customHeight="1" x14ac:dyDescent="0.25">
      <c r="A4" s="6" t="s">
        <v>46</v>
      </c>
      <c r="B4" s="5" t="s">
        <v>47</v>
      </c>
      <c r="C4" s="6"/>
      <c r="D4" s="6" t="s">
        <v>48</v>
      </c>
    </row>
    <row r="5" spans="1:8" ht="15.75" customHeight="1" x14ac:dyDescent="0.25">
      <c r="A5" s="4" t="s">
        <v>49</v>
      </c>
      <c r="B5" s="16">
        <v>0.45</v>
      </c>
      <c r="C5" s="17">
        <f>B4-B5</f>
        <v>0.55000000000000004</v>
      </c>
      <c r="D5" s="4" t="s">
        <v>50</v>
      </c>
    </row>
    <row r="6" spans="1:8" ht="15.75" customHeight="1" x14ac:dyDescent="0.25">
      <c r="A6" s="6" t="s">
        <v>39</v>
      </c>
      <c r="B6" s="5">
        <v>34426811</v>
      </c>
      <c r="C6" s="6"/>
      <c r="D6" s="6" t="s">
        <v>45</v>
      </c>
    </row>
    <row r="7" spans="1:8" ht="15.75" customHeight="1" x14ac:dyDescent="0.25">
      <c r="A7" s="4" t="s">
        <v>40</v>
      </c>
      <c r="B7" s="5">
        <v>15596872</v>
      </c>
      <c r="C7" s="4"/>
      <c r="D7" s="4" t="s">
        <v>45</v>
      </c>
    </row>
    <row r="8" spans="1:8" ht="15.75" customHeight="1" x14ac:dyDescent="0.25">
      <c r="A8" s="6" t="s">
        <v>51</v>
      </c>
      <c r="B8" s="5" t="s">
        <v>52</v>
      </c>
      <c r="C8" s="6"/>
      <c r="D8" s="6" t="s">
        <v>53</v>
      </c>
    </row>
    <row r="9" spans="1:8" ht="15.75" customHeight="1" x14ac:dyDescent="0.25">
      <c r="A9" s="4" t="s">
        <v>54</v>
      </c>
      <c r="B9" s="5" t="s">
        <v>55</v>
      </c>
      <c r="C9" s="4"/>
      <c r="D9" s="4" t="s">
        <v>56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2" t="s">
        <v>57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31</v>
      </c>
      <c r="C2" s="3" t="s">
        <v>58</v>
      </c>
      <c r="D2" s="3" t="s">
        <v>59</v>
      </c>
      <c r="E2" s="3" t="s">
        <v>13</v>
      </c>
    </row>
    <row r="3" spans="1:8" ht="15.75" customHeight="1" x14ac:dyDescent="0.25">
      <c r="A3" s="4" t="s">
        <v>60</v>
      </c>
      <c r="B3" s="5">
        <v>204059236</v>
      </c>
      <c r="C3" s="4" t="s">
        <v>61</v>
      </c>
      <c r="D3" s="4" t="s">
        <v>62</v>
      </c>
      <c r="E3" s="4"/>
    </row>
    <row r="4" spans="1:8" ht="15.75" customHeight="1" x14ac:dyDescent="0.25">
      <c r="A4" s="6" t="s">
        <v>63</v>
      </c>
      <c r="B4" s="5">
        <v>152961744</v>
      </c>
      <c r="C4" s="6" t="s">
        <v>64</v>
      </c>
      <c r="D4" s="6" t="s">
        <v>65</v>
      </c>
      <c r="E4" s="6"/>
    </row>
    <row r="5" spans="1:8" ht="15.75" customHeight="1" x14ac:dyDescent="0.25">
      <c r="A5" s="4" t="s">
        <v>66</v>
      </c>
      <c r="B5" s="5">
        <v>152961744</v>
      </c>
      <c r="C5" s="4" t="s">
        <v>64</v>
      </c>
      <c r="D5" s="4" t="s">
        <v>65</v>
      </c>
      <c r="E5" s="4"/>
    </row>
    <row r="6" spans="1:8" ht="15.75" customHeight="1" x14ac:dyDescent="0.25">
      <c r="A6" s="6" t="s">
        <v>67</v>
      </c>
      <c r="B6" s="5">
        <v>0</v>
      </c>
      <c r="C6" s="6"/>
      <c r="D6" s="6" t="s">
        <v>68</v>
      </c>
      <c r="E6" s="6"/>
    </row>
    <row r="7" spans="1:8" ht="15.75" customHeight="1" x14ac:dyDescent="0.25">
      <c r="A7" s="4" t="s">
        <v>69</v>
      </c>
      <c r="B7" s="5">
        <v>68039022</v>
      </c>
      <c r="C7" s="4" t="s">
        <v>70</v>
      </c>
      <c r="D7" s="4" t="s">
        <v>65</v>
      </c>
      <c r="E7" s="4"/>
    </row>
    <row r="8" spans="1:8" ht="15.75" customHeight="1" x14ac:dyDescent="0.25">
      <c r="A8" s="6" t="s">
        <v>71</v>
      </c>
      <c r="B8" s="5" t="s">
        <v>72</v>
      </c>
      <c r="C8" s="6"/>
      <c r="D8" s="6" t="s">
        <v>68</v>
      </c>
      <c r="E8" s="6" t="s">
        <v>73</v>
      </c>
    </row>
    <row r="9" spans="1:8" ht="15.75" customHeight="1" x14ac:dyDescent="0.25">
      <c r="A9" s="4" t="s">
        <v>74</v>
      </c>
      <c r="B9" s="5" t="s">
        <v>75</v>
      </c>
      <c r="C9" s="4"/>
      <c r="D9" s="4" t="s">
        <v>76</v>
      </c>
      <c r="E9" s="4" t="s">
        <v>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2" t="s">
        <v>77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78</v>
      </c>
      <c r="C2" s="3" t="s">
        <v>79</v>
      </c>
      <c r="D2" s="3" t="s">
        <v>13</v>
      </c>
    </row>
    <row r="3" spans="1:8" ht="15.75" customHeight="1" x14ac:dyDescent="0.25">
      <c r="A3" s="4" t="s">
        <v>80</v>
      </c>
      <c r="B3" s="5">
        <v>-61.1</v>
      </c>
      <c r="C3" s="4"/>
      <c r="D3" s="4" t="s">
        <v>81</v>
      </c>
    </row>
    <row r="4" spans="1:8" ht="15.75" customHeight="1" x14ac:dyDescent="0.25">
      <c r="A4" s="6" t="s">
        <v>82</v>
      </c>
      <c r="B4" s="5" t="s">
        <v>83</v>
      </c>
      <c r="C4" s="6"/>
      <c r="D4" s="6" t="s">
        <v>84</v>
      </c>
    </row>
    <row r="5" spans="1:8" ht="15.75" customHeight="1" x14ac:dyDescent="0.25">
      <c r="A5" s="4" t="s">
        <v>85</v>
      </c>
      <c r="B5" s="5">
        <v>68</v>
      </c>
      <c r="C5" s="4" t="s">
        <v>86</v>
      </c>
      <c r="D5" s="4" t="s">
        <v>87</v>
      </c>
    </row>
    <row r="6" spans="1:8" ht="15.75" customHeight="1" x14ac:dyDescent="0.25">
      <c r="A6" s="6" t="s">
        <v>88</v>
      </c>
      <c r="B6" s="5">
        <v>129.19999999999999</v>
      </c>
      <c r="C6" s="6" t="s">
        <v>47</v>
      </c>
      <c r="D6" s="6" t="s">
        <v>89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2" t="s">
        <v>90</v>
      </c>
      <c r="B1" s="2"/>
      <c r="C1" s="2"/>
      <c r="D1" s="2"/>
      <c r="E1" s="2"/>
      <c r="F1" s="2"/>
      <c r="G1" s="2"/>
      <c r="H1" s="2"/>
    </row>
    <row r="2" spans="1:8" ht="15" customHeight="1" x14ac:dyDescent="0.25">
      <c r="A2" s="1" t="s">
        <v>91</v>
      </c>
      <c r="B2" s="1"/>
      <c r="C2" s="1"/>
      <c r="D2" s="1"/>
    </row>
    <row r="3" spans="1:8" ht="18" customHeight="1" x14ac:dyDescent="0.25">
      <c r="A3" s="3" t="s">
        <v>1</v>
      </c>
      <c r="B3" s="3" t="s">
        <v>2</v>
      </c>
      <c r="C3" s="3" t="s">
        <v>13</v>
      </c>
      <c r="D3" s="3"/>
    </row>
    <row r="4" spans="1:8" ht="15.75" customHeight="1" x14ac:dyDescent="0.25">
      <c r="A4" s="6" t="s">
        <v>92</v>
      </c>
      <c r="B4" s="5">
        <v>147</v>
      </c>
      <c r="C4" s="6" t="s">
        <v>93</v>
      </c>
      <c r="D4" s="6"/>
    </row>
    <row r="5" spans="1:8" ht="15.75" customHeight="1" x14ac:dyDescent="0.25">
      <c r="A5" s="4" t="s">
        <v>94</v>
      </c>
      <c r="B5" s="5">
        <v>117</v>
      </c>
      <c r="C5" s="4" t="s">
        <v>95</v>
      </c>
      <c r="D5" s="4"/>
    </row>
    <row r="6" spans="1:8" ht="15.75" customHeight="1" x14ac:dyDescent="0.25">
      <c r="A6" s="6" t="s">
        <v>96</v>
      </c>
      <c r="B6" s="5">
        <v>30</v>
      </c>
      <c r="C6" s="6" t="s">
        <v>97</v>
      </c>
      <c r="D6" s="6"/>
    </row>
    <row r="7" spans="1:8" ht="15.75" customHeight="1" x14ac:dyDescent="0.25">
      <c r="A7" s="4" t="s">
        <v>98</v>
      </c>
      <c r="B7" s="5" t="s">
        <v>99</v>
      </c>
      <c r="C7" s="4" t="s">
        <v>100</v>
      </c>
      <c r="D7" s="4"/>
    </row>
    <row r="8" spans="1:8" ht="6" customHeight="1" x14ac:dyDescent="0.25"/>
    <row r="9" spans="1:8" ht="15" customHeight="1" x14ac:dyDescent="0.25">
      <c r="A9" s="1" t="s">
        <v>101</v>
      </c>
      <c r="B9" s="1"/>
      <c r="C9" s="1"/>
      <c r="D9" s="1"/>
    </row>
    <row r="10" spans="1:8" ht="18" customHeight="1" x14ac:dyDescent="0.25">
      <c r="A10" s="3" t="s">
        <v>102</v>
      </c>
      <c r="B10" s="3" t="s">
        <v>103</v>
      </c>
      <c r="C10" s="3" t="s">
        <v>13</v>
      </c>
      <c r="D10" s="3"/>
    </row>
    <row r="11" spans="1:8" ht="15.75" customHeight="1" x14ac:dyDescent="0.25">
      <c r="A11" s="4" t="s">
        <v>104</v>
      </c>
      <c r="B11" s="5">
        <v>42</v>
      </c>
      <c r="C11" s="4" t="s">
        <v>105</v>
      </c>
      <c r="D11" s="4"/>
    </row>
    <row r="12" spans="1:8" ht="15.75" customHeight="1" x14ac:dyDescent="0.25">
      <c r="A12" s="6" t="s">
        <v>106</v>
      </c>
      <c r="B12" s="5">
        <v>75</v>
      </c>
      <c r="C12" s="6" t="s">
        <v>105</v>
      </c>
      <c r="D12" s="6"/>
    </row>
    <row r="13" spans="1:8" ht="6" customHeight="1" x14ac:dyDescent="0.25"/>
    <row r="14" spans="1:8" ht="15" customHeight="1" x14ac:dyDescent="0.25">
      <c r="A14" s="1" t="s">
        <v>107</v>
      </c>
      <c r="B14" s="1"/>
      <c r="C14" s="1"/>
      <c r="D14" s="1"/>
    </row>
    <row r="15" spans="1:8" ht="18" customHeight="1" x14ac:dyDescent="0.25">
      <c r="A15" s="3" t="s">
        <v>108</v>
      </c>
      <c r="B15" s="3" t="s">
        <v>2</v>
      </c>
      <c r="C15" s="3" t="s">
        <v>109</v>
      </c>
      <c r="D15" s="3"/>
    </row>
    <row r="16" spans="1:8" ht="15.75" customHeight="1" x14ac:dyDescent="0.25">
      <c r="A16" s="6" t="s">
        <v>110</v>
      </c>
      <c r="B16" s="5">
        <f>B4/B5*100</f>
        <v>125.64102564102564</v>
      </c>
      <c r="C16" s="6" t="s">
        <v>111</v>
      </c>
      <c r="D16" s="6"/>
    </row>
    <row r="17" spans="1:4" ht="15.75" customHeight="1" x14ac:dyDescent="0.25">
      <c r="A17" s="4" t="s">
        <v>112</v>
      </c>
      <c r="B17" s="5">
        <f>B6/B5*100</f>
        <v>25.641025641025639</v>
      </c>
      <c r="C17" s="4" t="s">
        <v>113</v>
      </c>
      <c r="D17" s="4"/>
    </row>
    <row r="18" spans="1:4" ht="15.75" customHeight="1" x14ac:dyDescent="0.25">
      <c r="A18" s="6" t="s">
        <v>114</v>
      </c>
      <c r="B18" s="5">
        <f>B16</f>
        <v>125.64102564102564</v>
      </c>
      <c r="C18" s="6" t="s">
        <v>115</v>
      </c>
      <c r="D18" s="6"/>
    </row>
    <row r="19" spans="1:4" ht="15.75" customHeight="1" x14ac:dyDescent="0.25">
      <c r="A19" s="4" t="s">
        <v>116</v>
      </c>
      <c r="B19" s="5">
        <f>100-B16</f>
        <v>-25.641025641025635</v>
      </c>
      <c r="C19" s="4" t="s">
        <v>117</v>
      </c>
      <c r="D19" s="4"/>
    </row>
    <row r="20" spans="1:4" ht="15.75" customHeight="1" x14ac:dyDescent="0.25">
      <c r="A20" s="6" t="s">
        <v>118</v>
      </c>
      <c r="B20" s="5">
        <f>B17</f>
        <v>25.641025641025639</v>
      </c>
      <c r="C20" s="6" t="s">
        <v>119</v>
      </c>
      <c r="D20" s="6"/>
    </row>
    <row r="21" spans="1:4" ht="15.75" customHeight="1" x14ac:dyDescent="0.25">
      <c r="A21" s="4" t="s">
        <v>120</v>
      </c>
      <c r="B21" s="5">
        <f>100-B17</f>
        <v>74.358974358974365</v>
      </c>
      <c r="C21" s="4" t="s">
        <v>121</v>
      </c>
      <c r="D21" s="4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2" t="s">
        <v>122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13</v>
      </c>
    </row>
    <row r="3" spans="1:8" ht="15.75" customHeight="1" x14ac:dyDescent="0.25">
      <c r="A3" s="4" t="s">
        <v>128</v>
      </c>
      <c r="B3" s="4">
        <v>89.8</v>
      </c>
      <c r="C3" s="4">
        <v>81</v>
      </c>
      <c r="D3" s="7">
        <f t="shared" ref="D3:D8" si="0">-C3+B3</f>
        <v>8.7999999999999972</v>
      </c>
      <c r="E3" s="4" t="s">
        <v>129</v>
      </c>
      <c r="F3" s="4" t="s">
        <v>130</v>
      </c>
    </row>
    <row r="4" spans="1:8" ht="15.75" customHeight="1" x14ac:dyDescent="0.25">
      <c r="A4" s="6" t="s">
        <v>131</v>
      </c>
      <c r="B4" s="6">
        <v>100</v>
      </c>
      <c r="C4" s="6">
        <v>99.1</v>
      </c>
      <c r="D4" s="8">
        <f t="shared" si="0"/>
        <v>0.90000000000000568</v>
      </c>
      <c r="E4" s="6" t="s">
        <v>132</v>
      </c>
      <c r="F4" s="6" t="s">
        <v>133</v>
      </c>
    </row>
    <row r="5" spans="1:8" ht="15.75" customHeight="1" x14ac:dyDescent="0.25">
      <c r="A5" s="4" t="s">
        <v>134</v>
      </c>
      <c r="B5" s="4">
        <v>99.9</v>
      </c>
      <c r="C5" s="4">
        <v>94</v>
      </c>
      <c r="D5" s="7">
        <f t="shared" si="0"/>
        <v>5.9000000000000057</v>
      </c>
      <c r="E5" s="4" t="s">
        <v>135</v>
      </c>
      <c r="F5" s="4" t="s">
        <v>136</v>
      </c>
    </row>
    <row r="6" spans="1:8" ht="15.75" customHeight="1" x14ac:dyDescent="0.25">
      <c r="A6" s="6" t="s">
        <v>137</v>
      </c>
      <c r="B6" s="6">
        <v>93.7</v>
      </c>
      <c r="C6" s="6">
        <v>85.3</v>
      </c>
      <c r="D6" s="8">
        <f t="shared" si="0"/>
        <v>8.4000000000000057</v>
      </c>
      <c r="E6" s="6" t="s">
        <v>129</v>
      </c>
      <c r="F6" s="6" t="s">
        <v>130</v>
      </c>
    </row>
    <row r="7" spans="1:8" ht="15.75" customHeight="1" x14ac:dyDescent="0.25">
      <c r="A7" s="4" t="s">
        <v>138</v>
      </c>
      <c r="B7" s="4">
        <v>97.1</v>
      </c>
      <c r="C7" s="4">
        <v>89.6</v>
      </c>
      <c r="D7" s="7">
        <f t="shared" si="0"/>
        <v>7.5</v>
      </c>
      <c r="E7" s="4" t="s">
        <v>135</v>
      </c>
      <c r="F7" s="4" t="s">
        <v>136</v>
      </c>
    </row>
    <row r="8" spans="1:8" ht="15.75" customHeight="1" x14ac:dyDescent="0.25">
      <c r="A8" s="6" t="s">
        <v>139</v>
      </c>
      <c r="B8" s="6">
        <v>49</v>
      </c>
      <c r="C8" s="6">
        <v>14.2</v>
      </c>
      <c r="D8" s="8">
        <f t="shared" si="0"/>
        <v>34.799999999999997</v>
      </c>
      <c r="E8" s="6" t="s">
        <v>129</v>
      </c>
      <c r="F8" s="6" t="s">
        <v>140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2" t="s">
        <v>141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142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13</v>
      </c>
    </row>
    <row r="3" spans="1:8" ht="15.75" customHeight="1" x14ac:dyDescent="0.25">
      <c r="A3" s="4" t="s">
        <v>143</v>
      </c>
      <c r="B3" s="4">
        <v>89.6</v>
      </c>
      <c r="C3" s="4">
        <v>80.8</v>
      </c>
      <c r="D3" s="7">
        <f>-C3+B3</f>
        <v>8.7999999999999972</v>
      </c>
      <c r="E3" s="4" t="s">
        <v>129</v>
      </c>
      <c r="F3" s="4"/>
    </row>
    <row r="4" spans="1:8" ht="15.75" customHeight="1" x14ac:dyDescent="0.25">
      <c r="A4" s="6" t="s">
        <v>144</v>
      </c>
      <c r="B4" s="6">
        <v>88.8</v>
      </c>
      <c r="C4" s="6">
        <v>80.8</v>
      </c>
      <c r="D4" s="8">
        <f>-C4+B4</f>
        <v>8</v>
      </c>
      <c r="E4" s="6" t="s">
        <v>135</v>
      </c>
      <c r="F4" s="6"/>
    </row>
    <row r="5" spans="1:8" ht="15.75" customHeight="1" x14ac:dyDescent="0.25">
      <c r="A5" s="4" t="s">
        <v>145</v>
      </c>
      <c r="B5" s="4">
        <v>87</v>
      </c>
      <c r="C5" s="4">
        <v>76.8</v>
      </c>
      <c r="D5" s="7">
        <f>-C5+B5</f>
        <v>10.200000000000003</v>
      </c>
      <c r="E5" s="4" t="s">
        <v>129</v>
      </c>
      <c r="F5" s="4" t="s">
        <v>146</v>
      </c>
    </row>
    <row r="6" spans="1:8" ht="15.75" customHeight="1" x14ac:dyDescent="0.25">
      <c r="A6" s="6" t="s">
        <v>147</v>
      </c>
      <c r="B6" s="6">
        <v>95</v>
      </c>
      <c r="C6" s="6">
        <v>83.6</v>
      </c>
      <c r="D6" s="8">
        <f>-C6+B6</f>
        <v>11.400000000000006</v>
      </c>
      <c r="E6" s="6" t="s">
        <v>129</v>
      </c>
      <c r="F6" s="6"/>
    </row>
    <row r="7" spans="1:8" ht="15.75" customHeight="1" x14ac:dyDescent="0.25">
      <c r="A7" s="4" t="s">
        <v>148</v>
      </c>
      <c r="B7" s="4">
        <v>95.1</v>
      </c>
      <c r="C7" s="4">
        <v>90</v>
      </c>
      <c r="D7" s="7">
        <f>-C7+B7</f>
        <v>5.0999999999999943</v>
      </c>
      <c r="E7" s="4" t="s">
        <v>135</v>
      </c>
      <c r="F7" s="4" t="s">
        <v>149</v>
      </c>
    </row>
    <row r="8" spans="1:8" ht="15" customHeight="1" x14ac:dyDescent="0.25">
      <c r="A8" s="9" t="s">
        <v>150</v>
      </c>
      <c r="B8" s="9" t="s">
        <v>151</v>
      </c>
      <c r="C8" s="9"/>
      <c r="D8" s="9"/>
      <c r="E8" s="9"/>
      <c r="F8" s="9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22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2" t="s">
        <v>152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153</v>
      </c>
      <c r="B2" s="3" t="s">
        <v>154</v>
      </c>
      <c r="C2" s="3" t="s">
        <v>155</v>
      </c>
      <c r="D2" s="3" t="s">
        <v>156</v>
      </c>
      <c r="E2" s="3" t="s">
        <v>157</v>
      </c>
      <c r="F2" s="3" t="s">
        <v>158</v>
      </c>
      <c r="G2" s="3" t="s">
        <v>159</v>
      </c>
      <c r="H2" s="3" t="s">
        <v>13</v>
      </c>
    </row>
    <row r="3" spans="1:8" ht="15.75" customHeight="1" x14ac:dyDescent="0.25">
      <c r="A3" s="10" t="s">
        <v>160</v>
      </c>
      <c r="B3" s="4" t="s">
        <v>161</v>
      </c>
      <c r="C3" s="4" t="s">
        <v>162</v>
      </c>
      <c r="D3" s="4" t="s">
        <v>163</v>
      </c>
      <c r="E3" s="4" t="s">
        <v>164</v>
      </c>
      <c r="F3" s="4"/>
      <c r="G3" s="4"/>
      <c r="H3" s="4" t="s">
        <v>165</v>
      </c>
    </row>
    <row r="4" spans="1:8" ht="15.75" customHeight="1" x14ac:dyDescent="0.25">
      <c r="A4" s="6" t="s">
        <v>166</v>
      </c>
      <c r="B4" s="6" t="s">
        <v>164</v>
      </c>
      <c r="C4" s="6"/>
      <c r="D4" s="6"/>
      <c r="E4" s="6" t="s">
        <v>164</v>
      </c>
      <c r="F4" s="6"/>
      <c r="G4" s="6"/>
      <c r="H4" s="6"/>
    </row>
    <row r="5" spans="1:8" ht="15.75" customHeight="1" x14ac:dyDescent="0.25">
      <c r="A5" s="4" t="s">
        <v>167</v>
      </c>
      <c r="B5" s="4" t="s">
        <v>164</v>
      </c>
      <c r="C5" s="4"/>
      <c r="D5" s="4"/>
      <c r="E5" s="4" t="s">
        <v>164</v>
      </c>
      <c r="F5" s="4"/>
      <c r="G5" s="4"/>
      <c r="H5" s="4"/>
    </row>
    <row r="6" spans="1:8" ht="15.75" customHeight="1" x14ac:dyDescent="0.25">
      <c r="A6" s="6" t="s">
        <v>168</v>
      </c>
      <c r="B6" s="6" t="s">
        <v>164</v>
      </c>
      <c r="C6" s="6"/>
      <c r="D6" s="6"/>
      <c r="E6" s="6" t="s">
        <v>164</v>
      </c>
      <c r="F6" s="6"/>
      <c r="G6" s="6"/>
      <c r="H6" s="6"/>
    </row>
    <row r="7" spans="1:8" ht="15.75" customHeight="1" x14ac:dyDescent="0.25">
      <c r="A7" s="10" t="s">
        <v>169</v>
      </c>
      <c r="B7" s="4" t="s">
        <v>161</v>
      </c>
      <c r="C7" s="4" t="s">
        <v>170</v>
      </c>
      <c r="D7" s="4" t="s">
        <v>163</v>
      </c>
      <c r="E7" s="4" t="s">
        <v>164</v>
      </c>
      <c r="F7" s="4"/>
      <c r="G7" s="4"/>
      <c r="H7" s="4"/>
    </row>
    <row r="8" spans="1:8" ht="15.75" customHeight="1" x14ac:dyDescent="0.25">
      <c r="A8" s="10" t="s">
        <v>171</v>
      </c>
      <c r="B8" s="6" t="s">
        <v>161</v>
      </c>
      <c r="C8" s="6" t="s">
        <v>172</v>
      </c>
      <c r="D8" s="6" t="s">
        <v>173</v>
      </c>
      <c r="E8" s="6" t="s">
        <v>164</v>
      </c>
      <c r="F8" s="6"/>
      <c r="G8" s="6"/>
      <c r="H8" s="6" t="s">
        <v>174</v>
      </c>
    </row>
    <row r="9" spans="1:8" ht="15.75" customHeight="1" x14ac:dyDescent="0.25">
      <c r="A9" s="4" t="s">
        <v>175</v>
      </c>
      <c r="B9" s="4" t="s">
        <v>164</v>
      </c>
      <c r="C9" s="4"/>
      <c r="D9" s="4"/>
      <c r="E9" s="4" t="s">
        <v>164</v>
      </c>
      <c r="F9" s="4"/>
      <c r="G9" s="4"/>
      <c r="H9" s="4"/>
    </row>
    <row r="10" spans="1:8" ht="15.75" customHeight="1" x14ac:dyDescent="0.25">
      <c r="A10" s="10" t="s">
        <v>176</v>
      </c>
      <c r="B10" s="6" t="s">
        <v>161</v>
      </c>
      <c r="C10" s="6" t="s">
        <v>177</v>
      </c>
      <c r="D10" s="6" t="s">
        <v>163</v>
      </c>
      <c r="E10" s="6" t="s">
        <v>164</v>
      </c>
      <c r="F10" s="6"/>
      <c r="G10" s="6"/>
      <c r="H10" s="6"/>
    </row>
    <row r="11" spans="1:8" ht="15.75" customHeight="1" x14ac:dyDescent="0.25">
      <c r="A11" s="4" t="s">
        <v>178</v>
      </c>
      <c r="B11" s="4" t="s">
        <v>164</v>
      </c>
      <c r="C11" s="4"/>
      <c r="D11" s="4"/>
      <c r="E11" s="4" t="s">
        <v>164</v>
      </c>
      <c r="F11" s="4"/>
      <c r="G11" s="4"/>
      <c r="H11" s="4"/>
    </row>
    <row r="12" spans="1:8" ht="15.75" customHeight="1" x14ac:dyDescent="0.25">
      <c r="A12" s="6" t="s">
        <v>179</v>
      </c>
      <c r="B12" s="6" t="s">
        <v>164</v>
      </c>
      <c r="C12" s="6"/>
      <c r="D12" s="6"/>
      <c r="E12" s="6" t="s">
        <v>164</v>
      </c>
      <c r="F12" s="6"/>
      <c r="G12" s="6"/>
      <c r="H12" s="6"/>
    </row>
    <row r="13" spans="1:8" ht="15.75" customHeight="1" x14ac:dyDescent="0.25">
      <c r="A13" s="4" t="s">
        <v>180</v>
      </c>
      <c r="B13" s="4" t="s">
        <v>164</v>
      </c>
      <c r="C13" s="4"/>
      <c r="D13" s="4"/>
      <c r="E13" s="4" t="s">
        <v>164</v>
      </c>
      <c r="F13" s="4"/>
      <c r="G13" s="4"/>
      <c r="H13" s="4"/>
    </row>
    <row r="14" spans="1:8" ht="15.75" customHeight="1" x14ac:dyDescent="0.25">
      <c r="A14" s="6" t="s">
        <v>181</v>
      </c>
      <c r="B14" s="6" t="s">
        <v>164</v>
      </c>
      <c r="C14" s="6"/>
      <c r="D14" s="6"/>
      <c r="E14" s="6" t="s">
        <v>164</v>
      </c>
      <c r="F14" s="6"/>
      <c r="G14" s="6"/>
      <c r="H14" s="6"/>
    </row>
    <row r="15" spans="1:8" ht="15.75" customHeight="1" x14ac:dyDescent="0.25">
      <c r="A15" s="10" t="s">
        <v>182</v>
      </c>
      <c r="B15" s="4" t="s">
        <v>161</v>
      </c>
      <c r="C15" s="4" t="s">
        <v>183</v>
      </c>
      <c r="D15" s="4" t="s">
        <v>163</v>
      </c>
      <c r="E15" s="4" t="s">
        <v>164</v>
      </c>
      <c r="F15" s="4"/>
      <c r="G15" s="4"/>
      <c r="H15" s="4"/>
    </row>
    <row r="16" spans="1:8" ht="15.75" customHeight="1" x14ac:dyDescent="0.25">
      <c r="A16" s="6" t="s">
        <v>184</v>
      </c>
      <c r="B16" s="6" t="s">
        <v>164</v>
      </c>
      <c r="C16" s="6"/>
      <c r="D16" s="6"/>
      <c r="E16" s="6" t="s">
        <v>164</v>
      </c>
      <c r="F16" s="6"/>
      <c r="G16" s="6"/>
      <c r="H16" s="6"/>
    </row>
    <row r="17" spans="1:8" ht="15.75" customHeight="1" x14ac:dyDescent="0.25">
      <c r="A17" s="4" t="s">
        <v>185</v>
      </c>
      <c r="B17" s="4" t="s">
        <v>164</v>
      </c>
      <c r="C17" s="4"/>
      <c r="D17" s="4"/>
      <c r="E17" s="4" t="s">
        <v>164</v>
      </c>
      <c r="F17" s="4"/>
      <c r="G17" s="4"/>
      <c r="H17" s="4"/>
    </row>
    <row r="18" spans="1:8" ht="15.75" customHeight="1" x14ac:dyDescent="0.25">
      <c r="A18" s="6" t="s">
        <v>186</v>
      </c>
      <c r="B18" s="6" t="s">
        <v>164</v>
      </c>
      <c r="C18" s="6"/>
      <c r="D18" s="6"/>
      <c r="E18" s="6" t="s">
        <v>164</v>
      </c>
      <c r="F18" s="6"/>
      <c r="G18" s="6"/>
      <c r="H18" s="6"/>
    </row>
    <row r="19" spans="1:8" ht="15.75" customHeight="1" x14ac:dyDescent="0.25">
      <c r="A19" s="4" t="s">
        <v>187</v>
      </c>
      <c r="B19" s="4" t="s">
        <v>164</v>
      </c>
      <c r="C19" s="4"/>
      <c r="D19" s="4"/>
      <c r="E19" s="4" t="s">
        <v>164</v>
      </c>
      <c r="F19" s="4"/>
      <c r="G19" s="4"/>
      <c r="H19" s="4"/>
    </row>
    <row r="20" spans="1:8" ht="15.75" customHeight="1" x14ac:dyDescent="0.25">
      <c r="A20" s="11" t="s">
        <v>188</v>
      </c>
      <c r="B20" s="11" t="s">
        <v>164</v>
      </c>
      <c r="C20" s="11"/>
      <c r="D20" s="11"/>
      <c r="E20" s="11" t="s">
        <v>161</v>
      </c>
      <c r="F20" s="11" t="s">
        <v>24</v>
      </c>
      <c r="G20" s="11" t="s">
        <v>25</v>
      </c>
      <c r="H20" s="11" t="s">
        <v>189</v>
      </c>
    </row>
    <row r="21" spans="1:8" ht="15.75" customHeight="1" x14ac:dyDescent="0.25">
      <c r="A21" s="4" t="s">
        <v>190</v>
      </c>
      <c r="B21" s="4" t="s">
        <v>164</v>
      </c>
      <c r="C21" s="4"/>
      <c r="D21" s="4"/>
      <c r="E21" s="4" t="s">
        <v>164</v>
      </c>
      <c r="F21" s="4"/>
      <c r="G21" s="4"/>
      <c r="H21" s="4"/>
    </row>
    <row r="22" spans="1:8" ht="15.75" customHeight="1" x14ac:dyDescent="0.25">
      <c r="A22" s="12" t="s">
        <v>191</v>
      </c>
      <c r="B22" s="12" t="s">
        <v>164</v>
      </c>
      <c r="C22" s="12"/>
      <c r="D22" s="12"/>
      <c r="E22" s="12" t="s">
        <v>161</v>
      </c>
      <c r="F22" s="12" t="s">
        <v>192</v>
      </c>
      <c r="G22" s="12" t="s">
        <v>28</v>
      </c>
      <c r="H22" s="12" t="s">
        <v>193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5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2" t="s">
        <v>194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195</v>
      </c>
      <c r="B2" s="3" t="s">
        <v>196</v>
      </c>
      <c r="C2" s="3" t="s">
        <v>197</v>
      </c>
      <c r="D2" s="3" t="s">
        <v>198</v>
      </c>
      <c r="E2" s="3" t="s">
        <v>199</v>
      </c>
      <c r="F2" s="3" t="s">
        <v>200</v>
      </c>
    </row>
    <row r="3" spans="1:8" ht="15.75" customHeight="1" x14ac:dyDescent="0.25">
      <c r="A3" s="4">
        <v>1</v>
      </c>
      <c r="B3" s="4" t="s">
        <v>201</v>
      </c>
      <c r="C3" s="4" t="s">
        <v>138</v>
      </c>
      <c r="D3" s="4" t="s">
        <v>202</v>
      </c>
      <c r="E3" s="4" t="s">
        <v>203</v>
      </c>
      <c r="F3" s="13" t="s">
        <v>204</v>
      </c>
    </row>
    <row r="4" spans="1:8" ht="15.75" customHeight="1" x14ac:dyDescent="0.25">
      <c r="A4" s="6">
        <v>2</v>
      </c>
      <c r="B4" s="6" t="s">
        <v>205</v>
      </c>
      <c r="C4" s="6" t="s">
        <v>138</v>
      </c>
      <c r="D4" s="6" t="s">
        <v>206</v>
      </c>
      <c r="E4" s="6" t="s">
        <v>207</v>
      </c>
      <c r="F4" s="13" t="s">
        <v>204</v>
      </c>
    </row>
    <row r="5" spans="1:8" ht="15.75" customHeight="1" x14ac:dyDescent="0.25">
      <c r="A5" s="4">
        <v>3</v>
      </c>
      <c r="B5" s="4" t="s">
        <v>208</v>
      </c>
      <c r="C5" s="4" t="s">
        <v>137</v>
      </c>
      <c r="D5" s="4" t="s">
        <v>202</v>
      </c>
      <c r="E5" s="4" t="s">
        <v>209</v>
      </c>
      <c r="F5" s="14" t="s">
        <v>210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8" ht="21.75" customHeight="1" x14ac:dyDescent="0.25">
      <c r="A1" s="2" t="s">
        <v>211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195</v>
      </c>
      <c r="B2" s="3" t="s">
        <v>134</v>
      </c>
      <c r="C2" s="3" t="s">
        <v>212</v>
      </c>
      <c r="D2" s="3" t="s">
        <v>213</v>
      </c>
      <c r="E2" s="3" t="s">
        <v>214</v>
      </c>
      <c r="F2" s="3" t="s">
        <v>215</v>
      </c>
      <c r="G2" s="3" t="s">
        <v>216</v>
      </c>
      <c r="H2" s="3" t="s">
        <v>217</v>
      </c>
    </row>
    <row r="3" spans="1:8" ht="15.75" customHeight="1" x14ac:dyDescent="0.25">
      <c r="A3" s="4">
        <v>1</v>
      </c>
      <c r="B3" s="4" t="s">
        <v>218</v>
      </c>
      <c r="C3" s="4" t="s">
        <v>219</v>
      </c>
      <c r="D3" s="4" t="s">
        <v>220</v>
      </c>
      <c r="E3" s="4" t="s">
        <v>47</v>
      </c>
      <c r="F3" s="4" t="s">
        <v>47</v>
      </c>
      <c r="G3" s="4" t="s">
        <v>47</v>
      </c>
      <c r="H3" s="15" t="s">
        <v>221</v>
      </c>
    </row>
    <row r="4" spans="1:8" ht="15.75" customHeight="1" x14ac:dyDescent="0.25">
      <c r="A4" s="6">
        <v>2</v>
      </c>
      <c r="B4" s="6" t="s">
        <v>222</v>
      </c>
      <c r="C4" s="6" t="s">
        <v>223</v>
      </c>
      <c r="D4" s="6" t="s">
        <v>220</v>
      </c>
      <c r="E4" s="6" t="s">
        <v>47</v>
      </c>
      <c r="F4" s="6" t="s">
        <v>47</v>
      </c>
      <c r="G4" s="6" t="s">
        <v>47</v>
      </c>
      <c r="H4" s="15" t="s">
        <v>221</v>
      </c>
    </row>
    <row r="5" spans="1:8" ht="15.75" customHeight="1" x14ac:dyDescent="0.25">
      <c r="A5" s="4">
        <v>3</v>
      </c>
      <c r="B5" s="4" t="s">
        <v>224</v>
      </c>
      <c r="C5" s="4" t="s">
        <v>206</v>
      </c>
      <c r="D5" s="4" t="s">
        <v>220</v>
      </c>
      <c r="E5" s="4" t="s">
        <v>47</v>
      </c>
      <c r="F5" s="4" t="s">
        <v>47</v>
      </c>
      <c r="G5" s="4" t="s">
        <v>47</v>
      </c>
      <c r="H5" s="15" t="s">
        <v>221</v>
      </c>
    </row>
    <row r="6" spans="1:8" ht="15.75" customHeight="1" x14ac:dyDescent="0.25">
      <c r="A6" s="6">
        <v>4</v>
      </c>
      <c r="B6" s="6" t="s">
        <v>225</v>
      </c>
      <c r="C6" s="6" t="s">
        <v>226</v>
      </c>
      <c r="D6" s="6" t="s">
        <v>220</v>
      </c>
      <c r="E6" s="6" t="s">
        <v>47</v>
      </c>
      <c r="F6" s="6" t="s">
        <v>47</v>
      </c>
      <c r="G6" s="6" t="s">
        <v>47</v>
      </c>
      <c r="H6" s="15" t="s">
        <v>221</v>
      </c>
    </row>
    <row r="7" spans="1:8" ht="15.75" customHeight="1" x14ac:dyDescent="0.25">
      <c r="A7" s="4">
        <v>5</v>
      </c>
      <c r="B7" s="4" t="s">
        <v>227</v>
      </c>
      <c r="C7" s="4" t="s">
        <v>228</v>
      </c>
      <c r="D7" s="4" t="s">
        <v>220</v>
      </c>
      <c r="E7" s="4" t="s">
        <v>47</v>
      </c>
      <c r="F7" s="4" t="s">
        <v>47</v>
      </c>
      <c r="G7" s="4" t="s">
        <v>47</v>
      </c>
      <c r="H7" s="15" t="s">
        <v>221</v>
      </c>
    </row>
    <row r="8" spans="1:8" ht="15.75" customHeight="1" x14ac:dyDescent="0.25">
      <c r="A8" s="6">
        <v>6</v>
      </c>
      <c r="B8" s="6" t="s">
        <v>229</v>
      </c>
      <c r="C8" s="6" t="s">
        <v>230</v>
      </c>
      <c r="D8" s="6" t="s">
        <v>220</v>
      </c>
      <c r="E8" s="6" t="s">
        <v>47</v>
      </c>
      <c r="F8" s="6" t="s">
        <v>47</v>
      </c>
      <c r="G8" s="6" t="s">
        <v>47</v>
      </c>
      <c r="H8" s="15" t="s">
        <v>221</v>
      </c>
    </row>
    <row r="9" spans="1:8" ht="15.75" customHeight="1" x14ac:dyDescent="0.25">
      <c r="A9" s="4">
        <v>7</v>
      </c>
      <c r="B9" s="4" t="s">
        <v>231</v>
      </c>
      <c r="C9" s="4" t="s">
        <v>232</v>
      </c>
      <c r="D9" s="4" t="s">
        <v>220</v>
      </c>
      <c r="E9" s="4" t="s">
        <v>47</v>
      </c>
      <c r="F9" s="4" t="s">
        <v>47</v>
      </c>
      <c r="G9" s="4" t="s">
        <v>47</v>
      </c>
      <c r="H9" s="15" t="s">
        <v>221</v>
      </c>
    </row>
    <row r="10" spans="1:8" ht="15.75" customHeight="1" x14ac:dyDescent="0.25">
      <c r="A10" s="6">
        <v>8</v>
      </c>
      <c r="B10" s="6" t="s">
        <v>233</v>
      </c>
      <c r="C10" s="6" t="s">
        <v>206</v>
      </c>
      <c r="D10" s="6" t="s">
        <v>220</v>
      </c>
      <c r="E10" s="6" t="s">
        <v>47</v>
      </c>
      <c r="F10" s="6" t="s">
        <v>47</v>
      </c>
      <c r="G10" s="6" t="s">
        <v>234</v>
      </c>
      <c r="H10" s="13" t="s">
        <v>235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2" t="s">
        <v>236</v>
      </c>
      <c r="B1" s="2"/>
      <c r="C1" s="2"/>
      <c r="D1" s="2"/>
      <c r="E1" s="2"/>
      <c r="F1" s="2"/>
      <c r="G1" s="2"/>
      <c r="H1" s="2"/>
    </row>
    <row r="2" spans="1:8" ht="18" customHeight="1" x14ac:dyDescent="0.25">
      <c r="A2" s="3" t="s">
        <v>1</v>
      </c>
      <c r="B2" s="3" t="s">
        <v>2</v>
      </c>
    </row>
    <row r="3" spans="1:8" ht="15.75" customHeight="1" x14ac:dyDescent="0.25">
      <c r="A3" s="4" t="s">
        <v>237</v>
      </c>
      <c r="B3" s="5" t="s">
        <v>238</v>
      </c>
    </row>
    <row r="4" spans="1:8" ht="15.75" customHeight="1" x14ac:dyDescent="0.25">
      <c r="A4" s="6" t="s">
        <v>239</v>
      </c>
      <c r="B4" s="5" t="s">
        <v>240</v>
      </c>
    </row>
    <row r="5" spans="1:8" ht="15.75" customHeight="1" x14ac:dyDescent="0.25">
      <c r="A5" s="4" t="s">
        <v>241</v>
      </c>
      <c r="B5" s="5" t="s">
        <v>242</v>
      </c>
    </row>
    <row r="6" spans="1:8" ht="15.75" customHeight="1" x14ac:dyDescent="0.25">
      <c r="A6" s="6" t="s">
        <v>243</v>
      </c>
      <c r="B6" s="5" t="s">
        <v>244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2026-06-06T08:28:41Z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