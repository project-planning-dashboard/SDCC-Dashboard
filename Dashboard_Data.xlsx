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65" documentId="14_{682A7E4B-1055-4B0F-805D-134F59E89DE5}" xr6:coauthVersionLast="47" xr6:coauthVersionMax="47" xr10:uidLastSave="{AC7FB250-0A9F-4C3F-8B20-C0F32970438A}"/>
  <bookViews>
    <workbookView xWindow="-120" yWindow="-120" windowWidth="29040" windowHeight="15720" tabRatio="500" firstSheet="2" activeTab="2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7" l="1"/>
  <c r="B4" i="7"/>
  <c r="C5" i="6"/>
  <c r="C7" i="5"/>
  <c r="C5" i="5"/>
  <c r="C4" i="5"/>
  <c r="B8" i="5" s="1"/>
  <c r="C3" i="5"/>
  <c r="B9" i="4"/>
  <c r="C9" i="3"/>
  <c r="C6" i="4" l="1"/>
  <c r="D7" i="9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<sst xmlns="http://schemas.openxmlformats.org/spreadsheetml/2006/main" count="366" uniqueCount="237">
  <si>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</si>
  <si>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</si>
  <si>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</si>
  <si>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</si>
  <si>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</si>
  <si>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</si>
  <si>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</si>
  <si>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</si>
  <si>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</si>
  <si>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</si>
  <si>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</si>
  <si>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</si>
  <si>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</si>
  <si>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24-Jul-24</t>
  </si>
  <si>
    <t>Madinah Handover</t>
  </si>
  <si>
    <t>26-Aug-24</t>
  </si>
  <si>
    <t>Abha Handover</t>
  </si>
  <si>
    <t>06-Oct-24</t>
  </si>
  <si>
    <t>Jizan Handover</t>
  </si>
  <si>
    <t>02-Mar-25</t>
  </si>
  <si>
    <t>Jeddah / Makkah HO</t>
  </si>
  <si>
    <t>22-Jun-25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</si>
  <si>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</si>
  <si>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</si>
  <si>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</si>
  <si>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</si>
  <si>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</si>
  <si>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</si>
  <si>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</si>
  <si>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</si>
  <si>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</si>
  <si>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</si>
  <si>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</si>
  <si>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</si>
  <si>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</si>
  <si>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</si>
  <si>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</si>
  <si>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</si>
  <si>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</si>
  <si>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</si>
  <si>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</si>
  <si>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</si>
  <si>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</si>
  <si>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</si>
  <si>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</si>
  <si>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</si>
  <si>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</si>
  <si>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</si>
  <si>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</si>
  <si>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</si>
  <si>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</si>
  <si>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</si>
  <si>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</si>
  <si>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</si>
  <si>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</si>
  <si>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</si>
  <si>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</si>
  <si>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</si>
  <si>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</si>
  <si>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</si>
  <si>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</si>
  <si>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</si>
  <si>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</si>
  <si>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</si>
  <si>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</si>
  <si>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</si>
  <si>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</si>
  <si>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</si>
  <si>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</si>
  <si>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</si>
  <si>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</si>
  <si>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</si>
  <si>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</si>
  <si>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</si>
  <si>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</si>
  <si>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</si>
  <si>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</si>
  <si>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</si>
  <si>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</si>
  <si>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</si>
  <si>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</si>
  <si>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</si>
  <si>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</si>
  <si>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</si>
  <si>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</si>
  <si>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</si>
  <si>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</si>
  <si>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</si>
  <si>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</si>
  <si>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</si>
  <si>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</si>
  <si>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</si>
  <si>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</si>
  <si>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</si>
  <si>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</si>
  <si>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</si>
  <si>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</si>
  <si>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</si>
  <si>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</si>
  <si>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</si>
  <si>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</si>
  <si>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</si>
  <si>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</si>
  <si>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</si>
  <si>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</si>
  <si>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</si>
  <si>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</si>
  <si>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</si>
  <si>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</si>
  <si>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</si>
  <si>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</si>
  <si>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</si>
  <si>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</si>
  <si>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</si>
  <si>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</si>
  <si>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</si>
  <si>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</si>
  <si>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</si>
  <si>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</si>
  <si>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</si>
  <si>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</si>
  <si>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</si>
  <si>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</si>
  <si>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</si>
  <si>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</si>
  <si>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</si>
  <si>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</si>
  <si>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</si>
  <si>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</si>
  <si>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</si>
  <si>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</si>
  <si>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</si>
  <si>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</si>
  <si>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</si>
  <si>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</si>
  <si>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</si>
  <si>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</si>
  <si>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</si>
  <si>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</si>
  <si>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</si>
  <si>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</si>
  <si>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</si>
  <si>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</si>
  <si>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Nov-24</t>
  </si>
  <si>
    <t>YES</t>
  </si>
  <si>
    <t>Project Start</t>
  </si>
  <si>
    <t>above</t>
  </si>
  <si>
    <t>NO</t>
  </si>
  <si>
    <t>First month</t>
  </si>
  <si>
    <t>Dec-24</t>
  </si>
  <si>
    <t>Jan-25</t>
  </si>
  <si>
    <t>Feb-25</t>
  </si>
  <si>
    <t>Mar-25</t>
  </si>
  <si>
    <t>MADINAH P.C.</t>
  </si>
  <si>
    <t>Apr-25</t>
  </si>
  <si>
    <t>ABHA P.C.</t>
  </si>
  <si>
    <t>below</t>
  </si>
  <si>
    <t>Flag goes below bar</t>
  </si>
  <si>
    <t>May-25</t>
  </si>
  <si>
    <t>Jun-25</t>
  </si>
  <si>
    <t>JIZAN P.C.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</si>
  <si>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</si>
  <si>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</si>
  <si>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</si>
  <si>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</si>
  <si>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</si>
  <si>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</si>
  <si>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</si>
  <si>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</si>
  <si>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</si>
  <si>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</si>
  <si>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Orange cell</t>
  </si>
  <si>
    <t>May-26</t>
  </si>
  <si>
    <t>Jun-26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</si>
  <si>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</si>
  <si>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</si>
  <si>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</si>
  <si>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</si>
  <si>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</si>
  <si>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</si>
  <si>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</si>
  <si>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</si>
  <si>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</si>
  <si>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</si>
  <si>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</si>
  <si>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</si>
  <si>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</si>
  <si>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</si>
  <si>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</si>
  <si>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</si>
  <si>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</si>
  <si>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</si>
  <si>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</si>
  <si>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</si>
  <si>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</si>
  <si>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</si>
  <si>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</si>
  <si>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</si>
  <si>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</si>
  <si>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</si>
  <si>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</si>
  <si>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</si>
  <si>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</si>
  <si>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</si>
  <si>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</si>
  <si>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</si>
  <si>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</si>
  <si>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</si>
  <si>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</si>
  <si>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</si>
  <si>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</si>
  <si>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</si>
  <si>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</si>
  <si>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</si>
  <si>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</si>
  <si>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</si>
  <si>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</si>
  <si>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</si>
  <si>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</si>
  <si>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</si>
  <si>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</si>
  <si>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</si>
  <si>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</si>
  <si>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</si>
  <si>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</si>
  <si>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</si>
  <si>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</si>
  <si>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</si>
  <si>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</si>
  <si>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</si>
  <si>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</si>
  <si>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</si>
  <si>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80%*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</si>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</sst>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[$-409]d\-mmm\-yy;@"/>
    <numFmt numFmtId="166" formatCode="0.0%"/>
    <numFmt numFmtId="167" formatCode="0.0"/>
  </numFmts>
  <fonts count="7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NumberFormat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6" fontId="3" fillId="4" borderId="1" xfId="2" applyNumberFormat="1" applyFont="1" applyFill="1" applyBorder="1" applyAlignment="1">
      <alignment horizontal="left" vertical="center" wrapText="1"/>
    </xf>
    <xf numFmtId="167" fontId="3" fillId="4" borderId="1" xfId="0" applyNumberFormat="1" applyFont="1" applyFill="1" applyBorder="1" applyAlignment="1">
      <alignment horizontal="left" vertical="center" wrapText="1"/>
    </xf>
    <xf numFmtId="167" fontId="3" fillId="6" borderId="1" xfId="0" applyNumberFormat="1" applyFont="1" applyFill="1" applyBorder="1" applyAlignment="1">
      <alignment horizontal="left" vertical="center" wrapText="1"/>
    </xf>
    <xf numFmtId="17" fontId="3" fillId="8" borderId="1" xfId="0" applyNumberFormat="1" applyFont="1" applyFill="1" applyBorder="1" applyAlignment="1">
      <alignment horizontal="left" vertical="center" wrapText="1"/>
    </xf>
    <xf numFmtId="17" fontId="3" fillId="4" borderId="1" xfId="0" applyNumberFormat="1" applyFont="1" applyFill="1" applyBorder="1" applyAlignment="1">
      <alignment horizontal="left" vertical="center" wrapText="1"/>
    </xf>
    <xf numFmtId="15" fontId="3" fillId="9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199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200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C8" sqref="C8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13" t="s">
        <v>9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9" t="s">
        <v>13</v>
      </c>
      <c r="C3" s="2"/>
    </row>
    <row r="4" spans="1:8" ht="15.75" customHeight="1" x14ac:dyDescent="0.25">
      <c r="A4" s="4" t="s">
        <v>14</v>
      </c>
      <c r="B4" s="19" t="s">
        <v>15</v>
      </c>
      <c r="C4" s="4"/>
    </row>
    <row r="5" spans="1:8" ht="15.75" customHeight="1" x14ac:dyDescent="0.25">
      <c r="A5" s="2" t="s">
        <v>16</v>
      </c>
      <c r="B5" s="19" t="s">
        <v>17</v>
      </c>
      <c r="C5" s="2"/>
    </row>
    <row r="6" spans="1:8" ht="15.75" customHeight="1" x14ac:dyDescent="0.25">
      <c r="A6" s="4" t="s">
        <v>18</v>
      </c>
      <c r="B6" s="19" t="s">
        <v>19</v>
      </c>
      <c r="C6" s="4"/>
    </row>
    <row r="7" spans="1:8" ht="15.75" customHeight="1" x14ac:dyDescent="0.25">
      <c r="A7" s="2" t="s">
        <v>20</v>
      </c>
      <c r="B7" s="19" t="s">
        <v>21</v>
      </c>
      <c r="C7" s="2"/>
    </row>
    <row r="8" spans="1:8" ht="15.75" customHeight="1" x14ac:dyDescent="0.25">
      <c r="A8" s="4" t="s">
        <v>22</v>
      </c>
      <c r="B8" s="19" t="s">
        <v>23</v>
      </c>
      <c r="C8" s="4" t="s">
        <v>24</v>
      </c>
    </row>
    <row r="9" spans="1:8" ht="15.75" customHeight="1" x14ac:dyDescent="0.25">
      <c r="A9" s="2" t="s">
        <v>25</v>
      </c>
      <c r="B9" s="19">
        <v>46435</v>
      </c>
      <c r="C9" s="2" t="s">
        <v>26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tabSelected="1"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13" t="s">
        <v>27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28</v>
      </c>
      <c r="C2" s="1" t="s">
        <v>29</v>
      </c>
      <c r="D2" s="1" t="s">
        <v>11</v>
      </c>
    </row>
    <row r="3" spans="1:8" ht="15.75" customHeight="1" x14ac:dyDescent="0.25">
      <c r="A3" s="2" t="s">
        <v>30</v>
      </c>
      <c r="B3" s="18">
        <v>388016486</v>
      </c>
      <c r="C3" s="2"/>
      <c r="D3" s="2"/>
    </row>
    <row r="4" spans="1:8" ht="15.75" customHeight="1" x14ac:dyDescent="0.25">
      <c r="A4" s="4" t="s">
        <v>31</v>
      </c>
      <c r="B4" s="18">
        <v>0</v>
      </c>
      <c r="C4" s="4"/>
      <c r="D4" s="4"/>
    </row>
    <row r="5" spans="1:8" ht="15.75" customHeight="1" x14ac:dyDescent="0.25">
      <c r="A5" s="2" t="s">
        <v>32</v>
      </c>
      <c r="B5" s="18">
        <v>0</v>
      </c>
      <c r="C5" s="2"/>
      <c r="D5" s="2"/>
    </row>
    <row r="6" spans="1:8" ht="15.75" customHeight="1" x14ac:dyDescent="0.25">
      <c r="A6" s="4" t="s">
        <v>33</v>
      </c>
      <c r="B6" s="18">
        <v>0</v>
      </c>
      <c r="C6" s="4"/>
      <c r="D6" s="4"/>
    </row>
    <row r="7" spans="1:8" ht="15.75" customHeight="1" x14ac:dyDescent="0.25">
      <c r="A7" s="2" t="s">
        <v>34</v>
      </c>
      <c r="B7" s="18">
        <v>388016486</v>
      </c>
      <c r="C7" s="2"/>
      <c r="D7" s="2" t="s">
        <v>35</v>
      </c>
    </row>
    <row r="8" spans="1:8" ht="15.75" customHeight="1" x14ac:dyDescent="0.25">
      <c r="A8" s="4" t="s">
        <v>36</v>
      </c>
      <c r="B8" s="18">
        <v>34426811</v>
      </c>
      <c r="C8" s="4"/>
      <c r="D8" s="4"/>
    </row>
    <row r="9" spans="1:8" ht="15.75" customHeight="1" x14ac:dyDescent="0.25">
      <c r="A9" s="2" t="s">
        <v>37</v>
      </c>
      <c r="B9" s="18">
        <v>15596872</v>
      </c>
      <c r="C9" s="16">
        <f>B9/B8</f>
        <v>0.45304434384003794</v>
      </c>
      <c r="D9" s="2" t="s">
        <v>38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6" customWidth="1"/>
    <col min="4" max="4" width="40" customWidth="1"/>
  </cols>
  <sheetData>
    <row r="1" spans="1:8" ht="21.75" customHeight="1" x14ac:dyDescent="0.25">
      <c r="A1" s="13" t="s">
        <v>39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2</v>
      </c>
      <c r="C2" s="1" t="s">
        <v>29</v>
      </c>
      <c r="D2" s="1" t="s">
        <v>11</v>
      </c>
    </row>
    <row r="3" spans="1:8" ht="15.75" customHeight="1" x14ac:dyDescent="0.25">
      <c r="A3" s="2" t="s">
        <v>40</v>
      </c>
      <c r="B3" s="21">
        <v>355587125</v>
      </c>
      <c r="C3" s="23"/>
      <c r="D3" s="2" t="s">
        <v>41</v>
      </c>
    </row>
    <row r="4" spans="1:8" ht="15.75" customHeight="1" x14ac:dyDescent="0.25">
      <c r="A4" s="4" t="s">
        <v>42</v>
      </c>
      <c r="B4" s="22" t="s">
        <v>43</v>
      </c>
      <c r="C4" s="24"/>
      <c r="D4" s="4" t="s">
        <v>44</v>
      </c>
    </row>
    <row r="5" spans="1:8" ht="15.75" customHeight="1" x14ac:dyDescent="0.25">
      <c r="A5" s="4" t="s">
        <v>203</v>
      </c>
      <c r="B5" s="22">
        <v>0.68799999999999994</v>
      </c>
      <c r="C5" s="24"/>
      <c r="D5" s="4"/>
    </row>
    <row r="6" spans="1:8" ht="15.75" customHeight="1" x14ac:dyDescent="0.25">
      <c r="A6" s="2" t="s">
        <v>45</v>
      </c>
      <c r="B6" s="28">
        <v>0.40899999999999997</v>
      </c>
      <c r="C6" s="25">
        <f>B4-B6</f>
        <v>0.59099999999999997</v>
      </c>
      <c r="D6" s="2" t="s">
        <v>46</v>
      </c>
    </row>
    <row r="7" spans="1:8" ht="15.75" customHeight="1" x14ac:dyDescent="0.25">
      <c r="A7" s="4" t="s">
        <v>36</v>
      </c>
      <c r="B7" s="21">
        <v>34426811</v>
      </c>
      <c r="C7" s="24"/>
      <c r="D7" s="4" t="s">
        <v>41</v>
      </c>
    </row>
    <row r="8" spans="1:8" ht="15.75" customHeight="1" x14ac:dyDescent="0.25">
      <c r="A8" s="2" t="s">
        <v>37</v>
      </c>
      <c r="B8" s="21">
        <v>15596872</v>
      </c>
      <c r="C8" s="23"/>
      <c r="D8" s="2" t="s">
        <v>41</v>
      </c>
    </row>
    <row r="9" spans="1:8" ht="15.75" customHeight="1" x14ac:dyDescent="0.25">
      <c r="A9" s="4" t="s">
        <v>47</v>
      </c>
      <c r="B9" s="22">
        <f>(B7-B8)/B7</f>
        <v>0.54695565615996211</v>
      </c>
      <c r="C9" s="24"/>
      <c r="D9" s="4" t="s">
        <v>48</v>
      </c>
    </row>
    <row r="10" spans="1:8" ht="15.75" customHeight="1" x14ac:dyDescent="0.25">
      <c r="A10" s="2" t="s">
        <v>49</v>
      </c>
      <c r="B10" s="20" t="s">
        <v>201</v>
      </c>
      <c r="C10" s="23"/>
      <c r="D10" s="2" t="s">
        <v>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13" t="s">
        <v>51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28</v>
      </c>
      <c r="C2" s="1" t="s">
        <v>52</v>
      </c>
      <c r="D2" s="1" t="s">
        <v>53</v>
      </c>
      <c r="E2" s="1" t="s">
        <v>11</v>
      </c>
    </row>
    <row r="3" spans="1:8" ht="15.75" customHeight="1" x14ac:dyDescent="0.25">
      <c r="A3" s="2" t="s">
        <v>54</v>
      </c>
      <c r="B3" s="17">
        <v>204059236</v>
      </c>
      <c r="C3" s="16">
        <f>B3/Commercial_Info!$B$3</f>
        <v>0.52590352050144595</v>
      </c>
      <c r="D3" s="2" t="s">
        <v>55</v>
      </c>
      <c r="E3" s="2"/>
      <c r="G3" s="27"/>
    </row>
    <row r="4" spans="1:8" ht="15.75" customHeight="1" x14ac:dyDescent="0.25">
      <c r="A4" s="4" t="s">
        <v>56</v>
      </c>
      <c r="B4" s="17">
        <v>152961744</v>
      </c>
      <c r="C4" s="16">
        <f>B4/Commercial_Info!$B$3</f>
        <v>0.39421454891481078</v>
      </c>
      <c r="D4" s="4" t="s">
        <v>57</v>
      </c>
      <c r="E4" s="4"/>
    </row>
    <row r="5" spans="1:8" ht="15.75" customHeight="1" x14ac:dyDescent="0.25">
      <c r="A5" s="2" t="s">
        <v>58</v>
      </c>
      <c r="B5" s="17">
        <v>152961744</v>
      </c>
      <c r="C5" s="16">
        <f>B5/Commercial_Info!$B$3</f>
        <v>0.39421454891481078</v>
      </c>
      <c r="D5" s="2" t="s">
        <v>57</v>
      </c>
      <c r="E5" s="2"/>
    </row>
    <row r="6" spans="1:8" ht="15.75" customHeight="1" x14ac:dyDescent="0.25">
      <c r="A6" s="4" t="s">
        <v>59</v>
      </c>
      <c r="B6" s="17">
        <v>0</v>
      </c>
      <c r="C6" s="4"/>
      <c r="D6" s="4" t="s">
        <v>60</v>
      </c>
      <c r="E6" s="4"/>
    </row>
    <row r="7" spans="1:8" ht="15.75" customHeight="1" x14ac:dyDescent="0.25">
      <c r="A7" s="2" t="s">
        <v>61</v>
      </c>
      <c r="B7" s="17">
        <v>68039022</v>
      </c>
      <c r="C7" s="16">
        <f>B7/Commercial_Info!$B$3</f>
        <v>0.17535085352017749</v>
      </c>
      <c r="D7" s="2" t="s">
        <v>57</v>
      </c>
      <c r="E7" s="2"/>
    </row>
    <row r="8" spans="1:8" ht="28.5" customHeight="1" x14ac:dyDescent="0.25">
      <c r="A8" s="4" t="s">
        <v>202</v>
      </c>
      <c r="B8" s="30" t="str">
        <f>ROUNDUP(C4*100,0)&amp;"%"&amp;" / "&amp;ROUNDUP(Budgetary_Info!B6*100,0)&amp;"%"</f>
        <v>40% / 41%</v>
      </c>
      <c r="C8" s="4"/>
      <c r="D8" s="4" t="s">
        <v>60</v>
      </c>
      <c r="E8" s="4" t="s">
        <v>62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13" t="s">
        <v>63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64</v>
      </c>
      <c r="C2" s="1" t="s">
        <v>65</v>
      </c>
      <c r="D2" s="1" t="s">
        <v>11</v>
      </c>
    </row>
    <row r="3" spans="1:8" ht="27" customHeight="1" x14ac:dyDescent="0.25">
      <c r="A3" s="2" t="s">
        <v>66</v>
      </c>
      <c r="B3" s="3">
        <v>-61.1</v>
      </c>
      <c r="C3" s="2"/>
      <c r="D3" s="2" t="s">
        <v>67</v>
      </c>
    </row>
    <row r="4" spans="1:8" ht="27" customHeight="1" x14ac:dyDescent="0.25">
      <c r="A4" s="4" t="s">
        <v>68</v>
      </c>
      <c r="B4" s="3" t="s">
        <v>69</v>
      </c>
      <c r="C4" s="4"/>
      <c r="D4" s="4" t="s">
        <v>70</v>
      </c>
    </row>
    <row r="5" spans="1:8" ht="27" customHeight="1" x14ac:dyDescent="0.25">
      <c r="A5" s="2" t="s">
        <v>71</v>
      </c>
      <c r="B5" s="3">
        <v>68</v>
      </c>
      <c r="C5" s="31">
        <f>B5/B6</f>
        <v>0.52631578947368429</v>
      </c>
      <c r="D5" s="2" t="s">
        <v>72</v>
      </c>
    </row>
    <row r="6" spans="1:8" ht="27" customHeight="1" x14ac:dyDescent="0.25">
      <c r="A6" s="4" t="s">
        <v>73</v>
      </c>
      <c r="B6" s="3">
        <v>129.19999999999999</v>
      </c>
      <c r="C6" s="4" t="s">
        <v>43</v>
      </c>
      <c r="D6" s="4" t="s">
        <v>74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13" t="s">
        <v>75</v>
      </c>
      <c r="B1" s="13"/>
      <c r="C1" s="13"/>
      <c r="D1" s="13"/>
      <c r="E1" s="13"/>
      <c r="F1" s="13"/>
      <c r="G1" s="13"/>
      <c r="H1" s="13"/>
    </row>
    <row r="2" spans="1:8" ht="15" customHeight="1" x14ac:dyDescent="0.25">
      <c r="A2" s="14" t="s">
        <v>76</v>
      </c>
      <c r="B2" s="14"/>
      <c r="C2" s="14"/>
      <c r="D2" s="14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77</v>
      </c>
      <c r="B4" s="3">
        <f>B5+B6</f>
        <v>751</v>
      </c>
      <c r="C4" s="4" t="s">
        <v>78</v>
      </c>
      <c r="D4" s="4"/>
    </row>
    <row r="5" spans="1:8" ht="15.75" customHeight="1" x14ac:dyDescent="0.25">
      <c r="A5" s="2" t="s">
        <v>79</v>
      </c>
      <c r="B5" s="3">
        <v>654</v>
      </c>
      <c r="C5" s="2" t="s">
        <v>80</v>
      </c>
      <c r="D5" s="2"/>
    </row>
    <row r="6" spans="1:8" ht="15.75" customHeight="1" x14ac:dyDescent="0.25">
      <c r="A6" s="4" t="s">
        <v>81</v>
      </c>
      <c r="B6" s="3">
        <v>97</v>
      </c>
      <c r="C6" s="4" t="s">
        <v>82</v>
      </c>
      <c r="D6" s="4"/>
    </row>
    <row r="7" spans="1:8" ht="15.75" customHeight="1" x14ac:dyDescent="0.25">
      <c r="A7" s="2" t="s">
        <v>83</v>
      </c>
      <c r="B7" s="29">
        <f>B5/B4</f>
        <v>0.87083888149134492</v>
      </c>
      <c r="C7" s="2" t="s">
        <v>84</v>
      </c>
      <c r="D7" s="2"/>
    </row>
    <row r="8" spans="1:8" ht="6" customHeight="1" x14ac:dyDescent="0.25"/>
    <row r="9" spans="1:8" ht="15" customHeight="1" x14ac:dyDescent="0.25">
      <c r="A9" s="14" t="s">
        <v>85</v>
      </c>
      <c r="B9" s="14"/>
      <c r="C9" s="14"/>
      <c r="D9" s="14"/>
    </row>
    <row r="10" spans="1:8" ht="18" customHeight="1" x14ac:dyDescent="0.25">
      <c r="A10" s="1" t="s">
        <v>86</v>
      </c>
      <c r="B10" s="1" t="s">
        <v>87</v>
      </c>
      <c r="C10" s="1" t="s">
        <v>11</v>
      </c>
      <c r="D10" s="1"/>
    </row>
    <row r="11" spans="1:8" ht="15.75" customHeight="1" x14ac:dyDescent="0.25">
      <c r="A11" s="2" t="s">
        <v>88</v>
      </c>
      <c r="B11" s="3">
        <v>386</v>
      </c>
      <c r="C11" s="2" t="s">
        <v>89</v>
      </c>
      <c r="D11" s="2"/>
    </row>
    <row r="12" spans="1:8" ht="15.75" customHeight="1" x14ac:dyDescent="0.25">
      <c r="A12" s="4" t="s">
        <v>90</v>
      </c>
      <c r="B12" s="3">
        <v>268</v>
      </c>
      <c r="C12" s="4" t="s">
        <v>89</v>
      </c>
      <c r="D12" s="4"/>
    </row>
    <row r="13" spans="1:8" ht="6" customHeight="1" x14ac:dyDescent="0.25"/>
    <row r="14" spans="1:8" ht="15" customHeight="1" x14ac:dyDescent="0.25">
      <c r="A14" s="14" t="s">
        <v>91</v>
      </c>
      <c r="B14" s="14"/>
      <c r="C14" s="14"/>
      <c r="D14" s="14"/>
    </row>
    <row r="15" spans="1:8" ht="18" customHeight="1" x14ac:dyDescent="0.25">
      <c r="A15" s="1" t="s">
        <v>92</v>
      </c>
      <c r="B15" s="1" t="s">
        <v>2</v>
      </c>
      <c r="C15" s="1" t="s">
        <v>93</v>
      </c>
      <c r="D15" s="1"/>
    </row>
    <row r="16" spans="1:8" ht="15.75" customHeight="1" x14ac:dyDescent="0.25">
      <c r="A16" s="4" t="s">
        <v>94</v>
      </c>
      <c r="B16" s="3">
        <f>B4/B5*100</f>
        <v>114.83180428134557</v>
      </c>
      <c r="C16" s="4" t="s">
        <v>95</v>
      </c>
      <c r="D16" s="4"/>
    </row>
    <row r="17" spans="1:4" ht="15.75" customHeight="1" x14ac:dyDescent="0.25">
      <c r="A17" s="2" t="s">
        <v>96</v>
      </c>
      <c r="B17" s="3">
        <f>B6/B5*100</f>
        <v>14.831804281345565</v>
      </c>
      <c r="C17" s="2" t="s">
        <v>97</v>
      </c>
      <c r="D17" s="2"/>
    </row>
    <row r="18" spans="1:4" ht="15.75" customHeight="1" x14ac:dyDescent="0.25">
      <c r="A18" s="4" t="s">
        <v>98</v>
      </c>
      <c r="B18" s="3">
        <f>B16</f>
        <v>114.83180428134557</v>
      </c>
      <c r="C18" s="4" t="s">
        <v>99</v>
      </c>
      <c r="D18" s="4"/>
    </row>
    <row r="19" spans="1:4" ht="15.75" customHeight="1" x14ac:dyDescent="0.25">
      <c r="A19" s="2" t="s">
        <v>100</v>
      </c>
      <c r="B19" s="3">
        <f>100-B16</f>
        <v>-14.831804281345569</v>
      </c>
      <c r="C19" s="2" t="s">
        <v>101</v>
      </c>
      <c r="D19" s="2"/>
    </row>
    <row r="20" spans="1:4" ht="15.75" customHeight="1" x14ac:dyDescent="0.25">
      <c r="A20" s="4" t="s">
        <v>102</v>
      </c>
      <c r="B20" s="3">
        <f>B17</f>
        <v>14.831804281345565</v>
      </c>
      <c r="C20" s="4" t="s">
        <v>103</v>
      </c>
      <c r="D20" s="4"/>
    </row>
    <row r="21" spans="1:4" ht="15.75" customHeight="1" x14ac:dyDescent="0.25">
      <c r="A21" s="2" t="s">
        <v>104</v>
      </c>
      <c r="B21" s="3">
        <f>100-B17</f>
        <v>85.168195718654431</v>
      </c>
      <c r="C21" s="2" t="s">
        <v>105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13" t="s">
        <v>106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107</v>
      </c>
      <c r="B2" s="1" t="s">
        <v>108</v>
      </c>
      <c r="C2" s="1" t="s">
        <v>109</v>
      </c>
      <c r="D2" s="1" t="s">
        <v>110</v>
      </c>
      <c r="E2" s="1" t="s">
        <v>111</v>
      </c>
      <c r="F2" s="1" t="s">
        <v>11</v>
      </c>
    </row>
    <row r="3" spans="1:8" ht="15.75" customHeight="1" x14ac:dyDescent="0.25">
      <c r="A3" s="2" t="s">
        <v>112</v>
      </c>
      <c r="B3" s="32">
        <v>92.78</v>
      </c>
      <c r="C3" s="32">
        <v>84.28</v>
      </c>
      <c r="D3" s="5">
        <f t="shared" ref="D3:D8" si="0">-C3+B3</f>
        <v>8.5</v>
      </c>
      <c r="E3" s="2" t="s">
        <v>113</v>
      </c>
      <c r="F3" s="2" t="s">
        <v>114</v>
      </c>
    </row>
    <row r="4" spans="1:8" ht="15.75" customHeight="1" x14ac:dyDescent="0.25">
      <c r="A4" s="4" t="s">
        <v>115</v>
      </c>
      <c r="B4" s="33">
        <v>100</v>
      </c>
      <c r="C4" s="33">
        <v>99.25</v>
      </c>
      <c r="D4" s="6">
        <f t="shared" si="0"/>
        <v>0.75</v>
      </c>
      <c r="E4" s="4" t="s">
        <v>116</v>
      </c>
      <c r="F4" s="4" t="s">
        <v>117</v>
      </c>
    </row>
    <row r="5" spans="1:8" ht="15.75" customHeight="1" x14ac:dyDescent="0.25">
      <c r="A5" s="2" t="s">
        <v>118</v>
      </c>
      <c r="B5" s="32">
        <v>100</v>
      </c>
      <c r="C5" s="32">
        <v>95.54</v>
      </c>
      <c r="D5" s="5">
        <f t="shared" si="0"/>
        <v>4.4599999999999937</v>
      </c>
      <c r="E5" s="2" t="s">
        <v>119</v>
      </c>
      <c r="F5" s="2" t="s">
        <v>120</v>
      </c>
    </row>
    <row r="6" spans="1:8" ht="15.75" customHeight="1" x14ac:dyDescent="0.25">
      <c r="A6" s="4" t="s">
        <v>121</v>
      </c>
      <c r="B6" s="33">
        <v>95.92</v>
      </c>
      <c r="C6" s="33">
        <v>90.82</v>
      </c>
      <c r="D6" s="6">
        <f t="shared" si="0"/>
        <v>5.1000000000000085</v>
      </c>
      <c r="E6" s="4" t="s">
        <v>113</v>
      </c>
      <c r="F6" s="4" t="s">
        <v>114</v>
      </c>
    </row>
    <row r="7" spans="1:8" ht="15.75" customHeight="1" x14ac:dyDescent="0.25">
      <c r="A7" s="2" t="s">
        <v>122</v>
      </c>
      <c r="B7" s="32">
        <v>100</v>
      </c>
      <c r="C7" s="32">
        <v>93.32</v>
      </c>
      <c r="D7" s="5">
        <f t="shared" si="0"/>
        <v>6.6800000000000068</v>
      </c>
      <c r="E7" s="2" t="s">
        <v>119</v>
      </c>
      <c r="F7" s="2" t="s">
        <v>120</v>
      </c>
    </row>
    <row r="8" spans="1:8" ht="15.75" customHeight="1" x14ac:dyDescent="0.25">
      <c r="A8" s="4" t="s">
        <v>123</v>
      </c>
      <c r="B8" s="33">
        <v>68.05</v>
      </c>
      <c r="C8" s="33">
        <v>22.08</v>
      </c>
      <c r="D8" s="6">
        <f t="shared" si="0"/>
        <v>45.97</v>
      </c>
      <c r="E8" s="4" t="s">
        <v>113</v>
      </c>
      <c r="F8" s="4" t="s">
        <v>124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13" t="s">
        <v>125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126</v>
      </c>
      <c r="B2" s="1" t="s">
        <v>108</v>
      </c>
      <c r="C2" s="1" t="s">
        <v>109</v>
      </c>
      <c r="D2" s="1" t="s">
        <v>110</v>
      </c>
      <c r="E2" s="1" t="s">
        <v>111</v>
      </c>
      <c r="F2" s="1" t="s">
        <v>11</v>
      </c>
    </row>
    <row r="3" spans="1:8" ht="15.75" customHeight="1" x14ac:dyDescent="0.25">
      <c r="A3" s="2" t="s">
        <v>127</v>
      </c>
      <c r="B3" s="2">
        <v>92.88</v>
      </c>
      <c r="C3" s="2">
        <v>83.78</v>
      </c>
      <c r="D3" s="5">
        <f>-C3+B3</f>
        <v>9.0999999999999943</v>
      </c>
      <c r="E3" s="2" t="s">
        <v>113</v>
      </c>
      <c r="F3" s="2"/>
    </row>
    <row r="4" spans="1:8" ht="15.75" customHeight="1" x14ac:dyDescent="0.25">
      <c r="A4" s="4" t="s">
        <v>128</v>
      </c>
      <c r="B4" s="4">
        <v>92.15</v>
      </c>
      <c r="C4" s="4">
        <v>84.33</v>
      </c>
      <c r="D4" s="6">
        <f>-C4+B4</f>
        <v>7.8200000000000074</v>
      </c>
      <c r="E4" s="4" t="s">
        <v>119</v>
      </c>
      <c r="F4" s="4"/>
    </row>
    <row r="5" spans="1:8" ht="15.75" customHeight="1" x14ac:dyDescent="0.25">
      <c r="A5" s="2" t="s">
        <v>129</v>
      </c>
      <c r="B5" s="2">
        <v>90.96</v>
      </c>
      <c r="C5" s="2">
        <v>81.37</v>
      </c>
      <c r="D5" s="5">
        <f>-C5+B5</f>
        <v>9.5899999999999892</v>
      </c>
      <c r="E5" s="2" t="s">
        <v>113</v>
      </c>
      <c r="F5" s="2" t="s">
        <v>130</v>
      </c>
    </row>
    <row r="6" spans="1:8" ht="15.75" customHeight="1" x14ac:dyDescent="0.25">
      <c r="A6" s="4" t="s">
        <v>131</v>
      </c>
      <c r="B6" s="4">
        <v>95.89</v>
      </c>
      <c r="C6" s="4">
        <v>86.1</v>
      </c>
      <c r="D6" s="6">
        <f>-C6+B6</f>
        <v>9.7900000000000063</v>
      </c>
      <c r="E6" s="4" t="s">
        <v>113</v>
      </c>
      <c r="F6" s="4"/>
    </row>
    <row r="7" spans="1:8" ht="15.75" customHeight="1" x14ac:dyDescent="0.25">
      <c r="A7" s="2" t="s">
        <v>132</v>
      </c>
      <c r="B7" s="2">
        <v>95.71</v>
      </c>
      <c r="C7" s="2">
        <v>91.03</v>
      </c>
      <c r="D7" s="5">
        <f>-C7+B7</f>
        <v>4.6799999999999926</v>
      </c>
      <c r="E7" s="2" t="s">
        <v>119</v>
      </c>
      <c r="F7" s="2" t="s">
        <v>133</v>
      </c>
    </row>
    <row r="8" spans="1:8" ht="15" customHeight="1" x14ac:dyDescent="0.25">
      <c r="A8" s="7" t="s">
        <v>134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Normal="100" workbookViewId="0">
      <pane ySplit="2" topLeftCell="A3" activePane="bottomLeft" state="frozen"/>
      <selection pane="bottomLeft" activeCell="G19" sqref="G19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13" t="s">
        <v>135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136</v>
      </c>
      <c r="B2" s="1" t="s">
        <v>137</v>
      </c>
      <c r="C2" s="1" t="s">
        <v>138</v>
      </c>
      <c r="D2" s="1" t="s">
        <v>139</v>
      </c>
      <c r="E2" s="1" t="s">
        <v>140</v>
      </c>
      <c r="F2" s="1" t="s">
        <v>141</v>
      </c>
      <c r="G2" s="1" t="s">
        <v>142</v>
      </c>
      <c r="H2" s="1" t="s">
        <v>11</v>
      </c>
    </row>
    <row r="3" spans="1:8" ht="15.75" customHeight="1" x14ac:dyDescent="0.25">
      <c r="A3" s="8" t="s">
        <v>143</v>
      </c>
      <c r="B3" s="2" t="s">
        <v>144</v>
      </c>
      <c r="C3" s="2" t="s">
        <v>145</v>
      </c>
      <c r="D3" s="2" t="s">
        <v>146</v>
      </c>
      <c r="E3" s="2" t="s">
        <v>147</v>
      </c>
      <c r="F3" s="2"/>
      <c r="G3" s="2"/>
      <c r="H3" s="2" t="s">
        <v>148</v>
      </c>
    </row>
    <row r="4" spans="1:8" ht="15.75" customHeight="1" x14ac:dyDescent="0.25">
      <c r="A4" s="4" t="s">
        <v>149</v>
      </c>
      <c r="B4" s="4" t="s">
        <v>147</v>
      </c>
      <c r="C4" s="4"/>
      <c r="D4" s="4"/>
      <c r="E4" s="4" t="s">
        <v>147</v>
      </c>
      <c r="F4" s="4"/>
      <c r="G4" s="4"/>
      <c r="H4" s="4"/>
    </row>
    <row r="5" spans="1:8" ht="15.75" customHeight="1" x14ac:dyDescent="0.25">
      <c r="A5" s="2" t="s">
        <v>150</v>
      </c>
      <c r="B5" s="2" t="s">
        <v>147</v>
      </c>
      <c r="C5" s="2"/>
      <c r="D5" s="2"/>
      <c r="E5" s="2" t="s">
        <v>147</v>
      </c>
      <c r="F5" s="2"/>
      <c r="G5" s="2"/>
      <c r="H5" s="2"/>
    </row>
    <row r="6" spans="1:8" ht="15.75" customHeight="1" x14ac:dyDescent="0.25">
      <c r="A6" s="4" t="s">
        <v>151</v>
      </c>
      <c r="B6" s="4" t="s">
        <v>147</v>
      </c>
      <c r="C6" s="4"/>
      <c r="D6" s="4"/>
      <c r="E6" s="4" t="s">
        <v>147</v>
      </c>
      <c r="F6" s="4"/>
      <c r="G6" s="4"/>
      <c r="H6" s="4"/>
    </row>
    <row r="7" spans="1:8" ht="15.75" customHeight="1" x14ac:dyDescent="0.25">
      <c r="A7" s="8" t="s">
        <v>152</v>
      </c>
      <c r="B7" s="2" t="s">
        <v>144</v>
      </c>
      <c r="C7" s="2" t="s">
        <v>153</v>
      </c>
      <c r="D7" s="2" t="s">
        <v>146</v>
      </c>
      <c r="E7" s="2" t="s">
        <v>147</v>
      </c>
      <c r="F7" s="2"/>
      <c r="G7" s="2"/>
      <c r="H7" s="2"/>
    </row>
    <row r="8" spans="1:8" ht="15.75" customHeight="1" x14ac:dyDescent="0.25">
      <c r="A8" s="8" t="s">
        <v>154</v>
      </c>
      <c r="B8" s="4" t="s">
        <v>144</v>
      </c>
      <c r="C8" s="4" t="s">
        <v>155</v>
      </c>
      <c r="D8" s="4" t="s">
        <v>156</v>
      </c>
      <c r="E8" s="4" t="s">
        <v>147</v>
      </c>
      <c r="F8" s="4"/>
      <c r="G8" s="4"/>
      <c r="H8" s="4" t="s">
        <v>157</v>
      </c>
    </row>
    <row r="9" spans="1:8" ht="15.75" customHeight="1" x14ac:dyDescent="0.25">
      <c r="A9" s="2" t="s">
        <v>158</v>
      </c>
      <c r="B9" s="2" t="s">
        <v>147</v>
      </c>
      <c r="C9" s="2"/>
      <c r="D9" s="2"/>
      <c r="E9" s="2" t="s">
        <v>147</v>
      </c>
      <c r="F9" s="2"/>
      <c r="G9" s="2"/>
      <c r="H9" s="2"/>
    </row>
    <row r="10" spans="1:8" ht="15.75" customHeight="1" x14ac:dyDescent="0.25">
      <c r="A10" s="8" t="s">
        <v>159</v>
      </c>
      <c r="B10" s="4" t="s">
        <v>144</v>
      </c>
      <c r="C10" s="4" t="s">
        <v>160</v>
      </c>
      <c r="D10" s="4" t="s">
        <v>146</v>
      </c>
      <c r="E10" s="4" t="s">
        <v>147</v>
      </c>
      <c r="F10" s="4"/>
      <c r="G10" s="4"/>
      <c r="H10" s="4"/>
    </row>
    <row r="11" spans="1:8" ht="15.75" customHeight="1" x14ac:dyDescent="0.25">
      <c r="A11" s="2" t="s">
        <v>161</v>
      </c>
      <c r="B11" s="2" t="s">
        <v>147</v>
      </c>
      <c r="C11" s="2"/>
      <c r="D11" s="2"/>
      <c r="E11" s="2" t="s">
        <v>147</v>
      </c>
      <c r="F11" s="2"/>
      <c r="G11" s="2"/>
      <c r="H11" s="2"/>
    </row>
    <row r="12" spans="1:8" ht="15.75" customHeight="1" x14ac:dyDescent="0.25">
      <c r="A12" s="4" t="s">
        <v>162</v>
      </c>
      <c r="B12" s="4" t="s">
        <v>147</v>
      </c>
      <c r="C12" s="4"/>
      <c r="D12" s="4"/>
      <c r="E12" s="4" t="s">
        <v>147</v>
      </c>
      <c r="F12" s="4"/>
      <c r="G12" s="4"/>
      <c r="H12" s="4"/>
    </row>
    <row r="13" spans="1:8" ht="25.5" x14ac:dyDescent="0.25">
      <c r="A13" s="2" t="s">
        <v>163</v>
      </c>
      <c r="B13" s="2" t="s">
        <v>147</v>
      </c>
      <c r="C13" s="2" t="s">
        <v>204</v>
      </c>
      <c r="D13" s="2"/>
      <c r="E13" s="2" t="s">
        <v>147</v>
      </c>
      <c r="F13" s="2"/>
      <c r="G13" s="2"/>
      <c r="H13" s="2"/>
    </row>
    <row r="14" spans="1:8" ht="15.75" customHeight="1" x14ac:dyDescent="0.25">
      <c r="A14" s="4" t="s">
        <v>164</v>
      </c>
      <c r="B14" s="4" t="s">
        <v>147</v>
      </c>
      <c r="C14" s="4" t="s">
        <v>205</v>
      </c>
      <c r="D14" s="4"/>
      <c r="E14" s="4" t="s">
        <v>147</v>
      </c>
      <c r="F14" s="4"/>
      <c r="G14" s="4"/>
      <c r="H14" s="4"/>
    </row>
    <row r="15" spans="1:8" ht="15.75" customHeight="1" x14ac:dyDescent="0.25">
      <c r="A15" s="8" t="s">
        <v>165</v>
      </c>
      <c r="B15" s="2" t="s">
        <v>144</v>
      </c>
      <c r="C15" s="2"/>
      <c r="D15" s="2" t="s">
        <v>146</v>
      </c>
      <c r="E15" s="2" t="s">
        <v>147</v>
      </c>
      <c r="F15" s="2"/>
      <c r="G15" s="2"/>
      <c r="H15" s="2"/>
    </row>
    <row r="16" spans="1:8" ht="15.75" customHeight="1" x14ac:dyDescent="0.25">
      <c r="A16" s="4" t="s">
        <v>166</v>
      </c>
      <c r="B16" s="4" t="s">
        <v>147</v>
      </c>
      <c r="C16" s="4" t="s">
        <v>206</v>
      </c>
      <c r="D16" s="4"/>
      <c r="E16" s="4" t="s">
        <v>147</v>
      </c>
      <c r="F16" s="4"/>
      <c r="G16" s="4"/>
      <c r="H16" s="4"/>
    </row>
    <row r="17" spans="1:8" ht="15.75" customHeight="1" x14ac:dyDescent="0.25">
      <c r="A17" s="2" t="s">
        <v>167</v>
      </c>
      <c r="B17" s="2" t="s">
        <v>147</v>
      </c>
      <c r="C17" s="2"/>
      <c r="D17" s="2"/>
      <c r="E17" s="2" t="s">
        <v>147</v>
      </c>
      <c r="F17" s="2"/>
      <c r="G17" s="2"/>
      <c r="H17" s="2"/>
    </row>
    <row r="18" spans="1:8" ht="15.75" customHeight="1" x14ac:dyDescent="0.25">
      <c r="A18" s="4" t="s">
        <v>168</v>
      </c>
      <c r="B18" s="4" t="s">
        <v>147</v>
      </c>
      <c r="C18" s="4"/>
      <c r="D18" s="4"/>
      <c r="E18" s="4" t="s">
        <v>147</v>
      </c>
      <c r="F18" s="4"/>
      <c r="G18" s="4"/>
      <c r="H18" s="4"/>
    </row>
    <row r="19" spans="1:8" ht="15.75" customHeight="1" x14ac:dyDescent="0.25">
      <c r="A19" s="2" t="s">
        <v>169</v>
      </c>
      <c r="B19" s="2" t="s">
        <v>147</v>
      </c>
      <c r="C19" s="2"/>
      <c r="D19" s="2"/>
      <c r="E19" s="2" t="s">
        <v>147</v>
      </c>
      <c r="F19" s="2"/>
      <c r="G19" s="2"/>
      <c r="H19" s="2"/>
    </row>
    <row r="20" spans="1:8" ht="15.75" customHeight="1" x14ac:dyDescent="0.25">
      <c r="A20" s="2" t="s">
        <v>170</v>
      </c>
      <c r="B20" s="2" t="s">
        <v>147</v>
      </c>
      <c r="C20" s="2"/>
      <c r="D20" s="2"/>
      <c r="E20" s="2" t="s">
        <v>147</v>
      </c>
      <c r="F20" s="2"/>
      <c r="G20" s="2"/>
      <c r="H20" s="2"/>
    </row>
    <row r="21" spans="1:8" ht="15.75" customHeight="1" x14ac:dyDescent="0.25">
      <c r="A21" s="2" t="s">
        <v>172</v>
      </c>
      <c r="B21" s="2" t="s">
        <v>147</v>
      </c>
      <c r="C21" s="2"/>
      <c r="D21" s="2"/>
      <c r="E21" s="2" t="s">
        <v>147</v>
      </c>
      <c r="F21" s="2"/>
      <c r="G21" s="2"/>
      <c r="H21" s="2"/>
    </row>
    <row r="22" spans="1:8" ht="15.75" customHeight="1" x14ac:dyDescent="0.25">
      <c r="A22" s="2" t="s">
        <v>173</v>
      </c>
      <c r="B22" s="2" t="s">
        <v>147</v>
      </c>
      <c r="C22" s="2"/>
      <c r="D22" s="2"/>
      <c r="E22" s="2" t="s">
        <v>144</v>
      </c>
      <c r="F22" s="2"/>
      <c r="G22" s="2"/>
      <c r="H22" s="2"/>
    </row>
    <row r="23" spans="1:8" x14ac:dyDescent="0.25">
      <c r="A23" s="34">
        <v>46204</v>
      </c>
      <c r="B23" s="9" t="s">
        <v>147</v>
      </c>
      <c r="C23" s="9"/>
      <c r="D23" s="9"/>
      <c r="E23" s="9" t="s">
        <v>144</v>
      </c>
      <c r="F23" s="9" t="s">
        <v>22</v>
      </c>
      <c r="G23" s="9" t="s">
        <v>23</v>
      </c>
      <c r="H23" s="9" t="s">
        <v>171</v>
      </c>
    </row>
    <row r="24" spans="1:8" x14ac:dyDescent="0.25">
      <c r="A24" s="35">
        <v>46235</v>
      </c>
      <c r="B24" s="2" t="s">
        <v>147</v>
      </c>
      <c r="C24" s="2"/>
      <c r="D24" s="2"/>
      <c r="E24" s="2" t="s">
        <v>147</v>
      </c>
      <c r="F24" s="2"/>
      <c r="G24" s="2"/>
      <c r="H24" s="2"/>
    </row>
    <row r="25" spans="1:8" x14ac:dyDescent="0.25">
      <c r="A25" s="35">
        <v>46266</v>
      </c>
      <c r="B25" s="2" t="s">
        <v>147</v>
      </c>
      <c r="C25" s="2"/>
      <c r="D25" s="2"/>
      <c r="E25" s="2" t="s">
        <v>147</v>
      </c>
      <c r="F25" s="2"/>
      <c r="G25" s="2"/>
      <c r="H25" s="2"/>
    </row>
    <row r="26" spans="1:8" x14ac:dyDescent="0.25">
      <c r="A26" s="35">
        <v>46296</v>
      </c>
      <c r="B26" s="2" t="s">
        <v>147</v>
      </c>
      <c r="C26" s="2"/>
      <c r="D26" s="2"/>
      <c r="E26" s="2" t="s">
        <v>147</v>
      </c>
      <c r="F26" s="2"/>
      <c r="G26" s="2"/>
      <c r="H26" s="2"/>
    </row>
    <row r="27" spans="1:8" x14ac:dyDescent="0.25">
      <c r="A27" s="35">
        <v>46327</v>
      </c>
      <c r="B27" s="2" t="s">
        <v>147</v>
      </c>
      <c r="E27" s="2" t="s">
        <v>147</v>
      </c>
    </row>
    <row r="28" spans="1:8" x14ac:dyDescent="0.25">
      <c r="A28" s="35">
        <v>46357</v>
      </c>
      <c r="B28" s="2" t="s">
        <v>147</v>
      </c>
      <c r="E28" s="2" t="s">
        <v>147</v>
      </c>
    </row>
    <row r="29" spans="1:8" x14ac:dyDescent="0.25">
      <c r="A29" s="35">
        <v>46388</v>
      </c>
      <c r="B29" s="2" t="s">
        <v>147</v>
      </c>
      <c r="E29" s="2" t="s">
        <v>147</v>
      </c>
    </row>
    <row r="30" spans="1:8" x14ac:dyDescent="0.25">
      <c r="A30" s="35">
        <v>46419</v>
      </c>
      <c r="B30" s="10" t="s">
        <v>147</v>
      </c>
      <c r="C30" s="10"/>
      <c r="D30" s="10"/>
      <c r="E30" s="10" t="s">
        <v>144</v>
      </c>
      <c r="F30" s="10" t="s">
        <v>174</v>
      </c>
      <c r="G30" s="36">
        <v>46435</v>
      </c>
      <c r="H30" s="10" t="s">
        <v>175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13" t="s">
        <v>176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177</v>
      </c>
      <c r="B2" s="1" t="s">
        <v>178</v>
      </c>
      <c r="C2" s="1" t="s">
        <v>179</v>
      </c>
      <c r="D2" s="1" t="s">
        <v>180</v>
      </c>
      <c r="E2" s="1" t="s">
        <v>181</v>
      </c>
      <c r="F2" s="1" t="s">
        <v>182</v>
      </c>
    </row>
    <row r="3" spans="1:8" ht="38.25" x14ac:dyDescent="0.25">
      <c r="A3" s="2">
        <v>1</v>
      </c>
      <c r="B3" s="2" t="s">
        <v>212</v>
      </c>
      <c r="C3" s="2" t="s">
        <v>209</v>
      </c>
      <c r="D3" s="2" t="s">
        <v>208</v>
      </c>
      <c r="E3" s="2" t="s">
        <v>213</v>
      </c>
      <c r="F3" s="11" t="s">
        <v>207</v>
      </c>
    </row>
    <row r="4" spans="1:8" ht="25.5" x14ac:dyDescent="0.25">
      <c r="A4" s="4">
        <v>2</v>
      </c>
      <c r="B4" s="4" t="s">
        <v>214</v>
      </c>
      <c r="C4" s="4" t="s">
        <v>211</v>
      </c>
      <c r="D4" s="4" t="s">
        <v>210</v>
      </c>
      <c r="E4" s="4" t="s">
        <v>215</v>
      </c>
      <c r="F4" s="11" t="s">
        <v>207</v>
      </c>
    </row>
    <row r="5" spans="1:8" ht="38.25" x14ac:dyDescent="0.25">
      <c r="A5" s="2">
        <v>3</v>
      </c>
      <c r="B5" s="2" t="s">
        <v>216</v>
      </c>
      <c r="C5" s="2" t="s">
        <v>211</v>
      </c>
      <c r="D5" s="2" t="s">
        <v>210</v>
      </c>
      <c r="E5" s="2" t="s">
        <v>219</v>
      </c>
      <c r="F5" s="11" t="s">
        <v>207</v>
      </c>
    </row>
    <row r="6" spans="1:8" ht="38.25" x14ac:dyDescent="0.25">
      <c r="A6" s="2">
        <v>4</v>
      </c>
      <c r="B6" s="2" t="s">
        <v>217</v>
      </c>
      <c r="C6" s="2" t="s">
        <v>211</v>
      </c>
      <c r="D6" s="2" t="s">
        <v>210</v>
      </c>
      <c r="E6" s="2" t="s">
        <v>218</v>
      </c>
      <c r="F6" s="11" t="s">
        <v>207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O9" sqref="O9:V2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13" t="s">
        <v>183</v>
      </c>
      <c r="B1" s="13"/>
      <c r="C1" s="13"/>
      <c r="D1" s="13"/>
      <c r="E1" s="13"/>
      <c r="F1" s="13"/>
      <c r="G1" s="13"/>
      <c r="H1" s="13"/>
    </row>
    <row r="2" spans="1:21" ht="18" customHeight="1" x14ac:dyDescent="0.25">
      <c r="A2" s="1" t="s">
        <v>177</v>
      </c>
      <c r="B2" s="1" t="s">
        <v>118</v>
      </c>
      <c r="C2" s="1" t="s">
        <v>184</v>
      </c>
      <c r="D2" s="1" t="s">
        <v>185</v>
      </c>
      <c r="E2" s="1" t="s">
        <v>186</v>
      </c>
      <c r="F2" s="1" t="s">
        <v>187</v>
      </c>
      <c r="G2" s="1" t="s">
        <v>188</v>
      </c>
      <c r="H2" s="1" t="s">
        <v>189</v>
      </c>
    </row>
    <row r="3" spans="1:21" ht="15.75" customHeight="1" x14ac:dyDescent="0.25">
      <c r="A3" s="2">
        <v>1</v>
      </c>
      <c r="B3" s="2" t="s">
        <v>221</v>
      </c>
      <c r="C3" s="2" t="s">
        <v>222</v>
      </c>
      <c r="D3" s="2" t="s">
        <v>190</v>
      </c>
      <c r="E3" s="2">
        <v>1</v>
      </c>
      <c r="F3" s="2">
        <v>1</v>
      </c>
      <c r="G3" s="2">
        <v>1</v>
      </c>
      <c r="H3" s="12" t="s">
        <v>191</v>
      </c>
    </row>
    <row r="4" spans="1:21" ht="15.75" customHeight="1" x14ac:dyDescent="0.25">
      <c r="A4" s="4">
        <v>2</v>
      </c>
      <c r="B4" s="4" t="s">
        <v>223</v>
      </c>
      <c r="C4" s="4" t="s">
        <v>224</v>
      </c>
      <c r="D4" s="4" t="s">
        <v>190</v>
      </c>
      <c r="E4" s="4">
        <v>1</v>
      </c>
      <c r="F4" s="4">
        <v>1</v>
      </c>
      <c r="G4" s="4">
        <v>1</v>
      </c>
      <c r="H4" s="12" t="s">
        <v>191</v>
      </c>
    </row>
    <row r="5" spans="1:21" ht="15.75" customHeight="1" x14ac:dyDescent="0.25">
      <c r="A5" s="2">
        <v>3</v>
      </c>
      <c r="B5" s="2" t="s">
        <v>225</v>
      </c>
      <c r="C5" s="2" t="s">
        <v>224</v>
      </c>
      <c r="D5" s="2" t="s">
        <v>190</v>
      </c>
      <c r="E5" s="2">
        <v>1</v>
      </c>
      <c r="F5" s="2">
        <v>1</v>
      </c>
      <c r="G5" s="2">
        <v>1</v>
      </c>
      <c r="H5" s="12" t="s">
        <v>191</v>
      </c>
    </row>
    <row r="6" spans="1:21" ht="15.75" customHeight="1" x14ac:dyDescent="0.25">
      <c r="A6" s="4">
        <v>4</v>
      </c>
      <c r="B6" s="4" t="s">
        <v>226</v>
      </c>
      <c r="C6" s="4" t="s">
        <v>227</v>
      </c>
      <c r="D6" s="4" t="s">
        <v>190</v>
      </c>
      <c r="E6" s="4">
        <v>1</v>
      </c>
      <c r="F6" s="4">
        <v>1</v>
      </c>
      <c r="G6" s="4">
        <v>1</v>
      </c>
      <c r="H6" s="12" t="s">
        <v>191</v>
      </c>
    </row>
    <row r="7" spans="1:21" ht="15.75" customHeight="1" x14ac:dyDescent="0.25">
      <c r="A7" s="2">
        <v>5</v>
      </c>
      <c r="B7" s="2" t="s">
        <v>228</v>
      </c>
      <c r="C7" s="2" t="s">
        <v>229</v>
      </c>
      <c r="D7" s="2" t="s">
        <v>190</v>
      </c>
      <c r="E7" s="2">
        <v>1</v>
      </c>
      <c r="F7" s="2">
        <v>0.9</v>
      </c>
      <c r="G7" s="2">
        <v>0.9</v>
      </c>
      <c r="H7" s="11" t="s">
        <v>230</v>
      </c>
    </row>
    <row r="8" spans="1:21" ht="15.75" customHeight="1" x14ac:dyDescent="0.25">
      <c r="A8" s="4">
        <v>6</v>
      </c>
      <c r="B8" s="4" t="s">
        <v>220</v>
      </c>
      <c r="C8" s="4" t="s">
        <v>229</v>
      </c>
      <c r="D8" s="4" t="s">
        <v>190</v>
      </c>
      <c r="E8" s="4">
        <v>1</v>
      </c>
      <c r="F8" s="4">
        <v>0</v>
      </c>
      <c r="G8" s="4">
        <v>0</v>
      </c>
      <c r="H8" s="11" t="s">
        <v>230</v>
      </c>
    </row>
    <row r="9" spans="1:21" ht="15.75" customHeight="1" x14ac:dyDescent="0.25">
      <c r="A9" s="2">
        <v>7</v>
      </c>
      <c r="B9" s="2" t="s">
        <v>231</v>
      </c>
      <c r="C9" s="2" t="s">
        <v>224</v>
      </c>
      <c r="D9" s="2" t="s">
        <v>190</v>
      </c>
      <c r="E9" s="2" t="s">
        <v>232</v>
      </c>
      <c r="F9" s="2">
        <v>0</v>
      </c>
      <c r="G9" s="2">
        <v>0</v>
      </c>
      <c r="H9" s="11" t="s">
        <v>230</v>
      </c>
    </row>
    <row r="10" spans="1:21" ht="15.75" customHeight="1" x14ac:dyDescent="0.25">
      <c r="A10" s="4">
        <v>8</v>
      </c>
      <c r="B10" s="4" t="s">
        <v>233</v>
      </c>
      <c r="C10" s="4" t="s">
        <v>234</v>
      </c>
      <c r="D10" s="4" t="s">
        <v>190</v>
      </c>
      <c r="E10" s="4">
        <v>1</v>
      </c>
      <c r="F10" s="4" t="s">
        <v>235</v>
      </c>
      <c r="G10" s="4">
        <v>0.15</v>
      </c>
      <c r="H10" s="11" t="s">
        <v>230</v>
      </c>
    </row>
    <row r="11" spans="1:21" x14ac:dyDescent="0.25">
      <c r="S11" s="38"/>
      <c r="T11" s="38"/>
      <c r="U11" s="38"/>
    </row>
    <row r="12" spans="1:21" x14ac:dyDescent="0.25">
      <c r="S12" s="38"/>
      <c r="T12" s="38"/>
      <c r="U12" s="38"/>
    </row>
    <row r="13" spans="1:21" x14ac:dyDescent="0.25">
      <c r="S13" s="38"/>
      <c r="T13" s="38"/>
      <c r="U13" s="38"/>
    </row>
    <row r="14" spans="1:21" x14ac:dyDescent="0.25">
      <c r="S14" s="38"/>
      <c r="T14" s="38"/>
      <c r="U14" s="38"/>
    </row>
    <row r="15" spans="1:21" x14ac:dyDescent="0.25">
      <c r="S15" s="38"/>
      <c r="T15" s="38"/>
      <c r="U15" s="38"/>
    </row>
    <row r="16" spans="1:21" x14ac:dyDescent="0.25">
      <c r="S16" s="38"/>
      <c r="T16" s="38"/>
      <c r="U16" s="38"/>
    </row>
    <row r="17" spans="19:21" x14ac:dyDescent="0.25">
      <c r="T17" s="38"/>
      <c r="U17" s="38"/>
    </row>
    <row r="18" spans="19:21" x14ac:dyDescent="0.25">
      <c r="S18" s="38"/>
      <c r="U18" s="38"/>
    </row>
    <row r="19" spans="19:21" x14ac:dyDescent="0.25">
      <c r="S19" s="37"/>
    </row>
    <row r="20" spans="19:21" x14ac:dyDescent="0.25">
      <c r="S20" s="37"/>
    </row>
    <row r="21" spans="19:21" x14ac:dyDescent="0.25">
      <c r="S21" s="37"/>
    </row>
    <row r="22" spans="19:21" x14ac:dyDescent="0.25">
      <c r="S22" s="37"/>
    </row>
    <row r="23" spans="19:21" x14ac:dyDescent="0.25">
      <c r="S23" s="37"/>
    </row>
    <row r="24" spans="19:21" x14ac:dyDescent="0.25">
      <c r="S24" s="37"/>
    </row>
    <row r="25" spans="19:21" x14ac:dyDescent="0.25">
      <c r="S25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13" t="s">
        <v>192</v>
      </c>
      <c r="B1" s="13"/>
      <c r="C1" s="13"/>
      <c r="D1" s="13"/>
      <c r="E1" s="13"/>
      <c r="F1" s="13"/>
      <c r="G1" s="13"/>
      <c r="H1" s="13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193</v>
      </c>
      <c r="B3" s="3" t="s">
        <v>194</v>
      </c>
    </row>
    <row r="4" spans="1:8" ht="15.75" customHeight="1" x14ac:dyDescent="0.25">
      <c r="A4" s="4" t="s">
        <v>195</v>
      </c>
      <c r="B4" s="15">
        <v>46176</v>
      </c>
    </row>
    <row r="5" spans="1:8" ht="15.75" customHeight="1" x14ac:dyDescent="0.25">
      <c r="A5" s="2" t="s">
        <v>196</v>
      </c>
      <c r="B5" s="3" t="s">
        <v>236</v>
      </c>
    </row>
    <row r="6" spans="1:8" ht="15.75" customHeight="1" x14ac:dyDescent="0.25">
      <c r="A6" s="4" t="s">
        <v>197</v>
      </c>
      <c r="B6" s="3" t="s">
        <v>198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2026-06-06T12:12:43Z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