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ader" sheetId="1" state="visible" r:id="rId3"/>
    <sheet name="General_Info" sheetId="2" state="visible" r:id="rId4"/>
    <sheet name="Commercial_Info" sheetId="3" state="visible" r:id="rId5"/>
    <sheet name="Budgetary_Info" sheetId="4" state="visible" r:id="rId6"/>
    <sheet name="Collection_Info" sheetId="5" state="visible" r:id="rId7"/>
    <sheet name="Cash_Flow" sheetId="6" state="visible" r:id="rId8"/>
    <sheet name="Manpower" sheetId="7" state="visible" r:id="rId9"/>
    <sheet name="Project_Phases" sheetId="8" state="visible" r:id="rId10"/>
    <sheet name="City_Progress" sheetId="9" state="visible" r:id="rId11"/>
    <sheet name="Timeline" sheetId="10" state="visible" r:id="rId12"/>
    <sheet name="Major_Issues" sheetId="11" state="visible" r:id="rId13"/>
    <sheet name="Equipment_Status" sheetId="12" state="visible" r:id="rId14"/>
    <sheet name="Footer" sheetId="13" state="visible" r:id="rId15"/>
    <sheet name="JSON_Output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<sst xmlns="http://schemas.openxmlformats.org/spreadsheetml/2006/main" count="384" uniqueCount="248">
  <si>
    <t xml:space="preserve">HEADER — Dashboard Title &amp; PM</t>
  </si>
  <si>
    <t xml:space="preserve">Field</t>
  </si>
  <si>
    <t xml:space="preserve">Value</t>
  </si>
  <si>
    <t xml:space="preserve">Dashboard Title</t>
  </si>
  <si>
    <t xml:space="preserve">WESTERN REGION SDCC PROJECT DASHBOARD | PE-286</t>
  </si>
  <si>
    <t xml:space="preserve">Project Code</t>
  </si>
  <si>
    <t xml:space="preserve">PE-286</t>
  </si>
  <si>
    <t xml:space="preserve">Region</t>
  </si>
  <si>
    <t xml:space="preserve">Western Region</t>
  </si>
  <si>
    <t xml:space="preserve">Project Manager</t>
  </si>
  <si>
    <t xml:space="preserve">Hany Kamal</t>
  </si>
  <si>
    <t xml:space="preserve">GENERAL INFO — Key Project Dates</t>
  </si>
  <si>
    <t xml:space="preserve">Date</t>
  </si>
  <si>
    <t xml:space="preserve">Notes</t>
  </si>
  <si>
    <t xml:space="preserve">Contract Sign Date</t>
  </si>
  <si>
    <t xml:space="preserve">24-Jul-24</t>
  </si>
  <si>
    <t xml:space="preserve">Madinah Handover</t>
  </si>
  <si>
    <t xml:space="preserve">26-Aug-24</t>
  </si>
  <si>
    <t xml:space="preserve">Abha Handover</t>
  </si>
  <si>
    <t xml:space="preserve">06-Oct-24</t>
  </si>
  <si>
    <t xml:space="preserve">Jizan Handover</t>
  </si>
  <si>
    <t xml:space="preserve">02-Mar-25</t>
  </si>
  <si>
    <t xml:space="preserve">Jeddah / Makkah HO</t>
  </si>
  <si>
    <t xml:space="preserve">22-Jun-25</t>
  </si>
  <si>
    <t xml:space="preserve">Contractual TCC</t>
  </si>
  <si>
    <t xml:space="preserve">24-Jul-26</t>
  </si>
  <si>
    <t xml:space="preserve">Highlighted orange in dashboard</t>
  </si>
  <si>
    <t xml:space="preserve">Expected TCC</t>
  </si>
  <si>
    <t xml:space="preserve">15-Oct-26</t>
  </si>
  <si>
    <t xml:space="preserve">Highlighted red in dashboard — delayed</t>
  </si>
  <si>
    <t xml:space="preserve">COMMERCIAL INFO (SAR)</t>
  </si>
  <si>
    <t xml:space="preserve">Value (SAR)</t>
  </si>
  <si>
    <t xml:space="preserve">Tag / Badge</t>
  </si>
  <si>
    <t xml:space="preserve">Org. Contract Value</t>
  </si>
  <si>
    <t xml:space="preserve">Cont. Adv. Payment</t>
  </si>
  <si>
    <t xml:space="preserve">Change Orders</t>
  </si>
  <si>
    <t xml:space="preserve">Sub. Cost Claim</t>
  </si>
  <si>
    <t xml:space="preserve">Expected Cont. Value</t>
  </si>
  <si>
    <t xml:space="preserve">Equals Org. Contract Value + Change Orders</t>
  </si>
  <si>
    <t xml:space="preserve">Org. Contingency</t>
  </si>
  <si>
    <t xml:space="preserve">Rem. Contingency</t>
  </si>
  <si>
    <t xml:space="preserve">45%</t>
  </si>
  <si>
    <t xml:space="preserve">Badge shown in amber/red in dashboard</t>
  </si>
  <si>
    <t xml:space="preserve">BUDGETARY INFO</t>
  </si>
  <si>
    <t xml:space="preserve">Rev. Budget Amount</t>
  </si>
  <si>
    <t xml:space="preserve">SAR</t>
  </si>
  <si>
    <t xml:space="preserve">Target POC 2026</t>
  </si>
  <si>
    <t xml:space="preserve">100%</t>
  </si>
  <si>
    <t xml:space="preserve">Percentage</t>
  </si>
  <si>
    <t xml:space="preserve">Actual POC Till Date</t>
  </si>
  <si>
    <t xml:space="preserve">40.9%</t>
  </si>
  <si>
    <t xml:space="preserve">-59.1</t>
  </si>
  <si>
    <t xml:space="preserve">Red in dashboard; badge shows gap vs target</t>
  </si>
  <si>
    <t xml:space="preserve">Contingency Used</t>
  </si>
  <si>
    <t xml:space="preserve">~55%</t>
  </si>
  <si>
    <t xml:space="preserve">Amber in dashboard</t>
  </si>
  <si>
    <t xml:space="preserve">EOT Status</t>
  </si>
  <si>
    <t xml:space="preserve">Not Submitted</t>
  </si>
  <si>
    <t xml:space="preserve">Red in dashboard</t>
  </si>
  <si>
    <t xml:space="preserve">COLLECTION INFO (SAR)</t>
  </si>
  <si>
    <t xml:space="preserve">Tag %</t>
  </si>
  <si>
    <t xml:space="preserve">Color in Dashboard</t>
  </si>
  <si>
    <t xml:space="preserve">Invoiceable Amount</t>
  </si>
  <si>
    <t xml:space="preserve">53%</t>
  </si>
  <si>
    <t xml:space="preserve">Green</t>
  </si>
  <si>
    <t xml:space="preserve">Submitted Invoices</t>
  </si>
  <si>
    <t xml:space="preserve">39%</t>
  </si>
  <si>
    <t xml:space="preserve">Amber</t>
  </si>
  <si>
    <t xml:space="preserve">Approved Invoices</t>
  </si>
  <si>
    <t xml:space="preserve">Collected Adv.</t>
  </si>
  <si>
    <t xml:space="preserve">Normal</t>
  </si>
  <si>
    <t xml:space="preserve">Col. Amount Inc Adv</t>
  </si>
  <si>
    <t xml:space="preserve">18%</t>
  </si>
  <si>
    <t xml:space="preserve">Billing vs POC</t>
  </si>
  <si>
    <t xml:space="preserve">39% / 40.9%</t>
  </si>
  <si>
    <t xml:space="preserve">Text field — shown as-is</t>
  </si>
  <si>
    <t xml:space="preserve">Cash Collected Gap</t>
  </si>
  <si>
    <t xml:space="preserve">21 pts behind</t>
  </si>
  <si>
    <t xml:space="preserve">Red</t>
  </si>
  <si>
    <t xml:space="preserve">CASH FLOW STATUS (SAR Millions)</t>
  </si>
  <si>
    <t xml:space="preserve">Value (SAR M)</t>
  </si>
  <si>
    <t xml:space="preserve">Bar Width %</t>
  </si>
  <si>
    <t xml:space="preserve">Net Cash Position</t>
  </si>
  <si>
    <t xml:space="preserve">Shown as hero figure; red background</t>
  </si>
  <si>
    <t xml:space="preserve">Hero Sub-label</t>
  </si>
  <si>
    <t xml:space="preserve">Outflow exceeds inflow · negative position</t>
  </si>
  <si>
    <t xml:space="preserve">Descriptive text under the big number</t>
  </si>
  <si>
    <t xml:space="preserve">Cash In</t>
  </si>
  <si>
    <t xml:space="preserve">52.6%</t>
  </si>
  <si>
    <t xml:space="preserve">Green bar; relative to Cash Out (max)</t>
  </si>
  <si>
    <t xml:space="preserve">Cash Out</t>
  </si>
  <si>
    <t xml:space="preserve">Orange bar; this is the 100% reference</t>
  </si>
  <si>
    <t xml:space="preserve">MANPOWER STATUS</t>
  </si>
  <si>
    <t xml:space="preserve">A — Totals</t>
  </si>
  <si>
    <t xml:space="preserve">Total Manpower</t>
  </si>
  <si>
    <t xml:space="preserve">Hero figure — orange background</t>
  </si>
  <si>
    <t xml:space="preserve">Direct Labor</t>
  </si>
  <si>
    <t xml:space="preserve">Green segment in donut</t>
  </si>
  <si>
    <t xml:space="preserve">Indirect</t>
  </si>
  <si>
    <t xml:space="preserve">Orange segment in donut</t>
  </si>
  <si>
    <t xml:space="preserve">Direct Share %</t>
  </si>
  <si>
    <t xml:space="preserve">80%</t>
  </si>
  <si>
    <t xml:space="preserve">Shown as green text</t>
  </si>
  <si>
    <t xml:space="preserve">B — Direct Labor Breakdown</t>
  </si>
  <si>
    <t xml:space="preserve">Category</t>
  </si>
  <si>
    <t xml:space="preserve">Count</t>
  </si>
  <si>
    <t xml:space="preserve">ALF (Alfanar direct)</t>
  </si>
  <si>
    <t xml:space="preserve">Shown as sub-label under Direct Labor</t>
  </si>
  <si>
    <t xml:space="preserve">SC (Subcontractor)</t>
  </si>
  <si>
    <t xml:space="preserve">C — Donut Chart SVG Parameters (auto-calculated from counts above)</t>
  </si>
  <si>
    <t xml:space="preserve">Parameter</t>
  </si>
  <si>
    <t xml:space="preserve">Formula / Notes</t>
  </si>
  <si>
    <t xml:space="preserve">Direct % of Total</t>
  </si>
  <si>
    <t xml:space="preserve">e.g. 79.6  → used for green arc dasharray</t>
  </si>
  <si>
    <t xml:space="preserve">Indirect % of Total</t>
  </si>
  <si>
    <t xml:space="preserve">e.g. 20.4  → used for orange arc dasharray</t>
  </si>
  <si>
    <t xml:space="preserve">Green arc dasharray part1</t>
  </si>
  <si>
    <t xml:space="preserve">stroke-dasharray first value (green)</t>
  </si>
  <si>
    <t xml:space="preserve">Green arc dasharray part2</t>
  </si>
  <si>
    <t xml:space="preserve">stroke-dasharray second value (green)</t>
  </si>
  <si>
    <t xml:space="preserve">Orange arc dasharray part1</t>
  </si>
  <si>
    <t xml:space="preserve">stroke-dasharray first value (orange)</t>
  </si>
  <si>
    <t xml:space="preserve">Orange arc dasharray part2</t>
  </si>
  <si>
    <t xml:space="preserve">stroke-dasharray second value (orange)</t>
  </si>
  <si>
    <t xml:space="preserve">PROJECT PHASES — Plan vs Actual (%)</t>
  </si>
  <si>
    <t xml:space="preserve">Phase</t>
  </si>
  <si>
    <t xml:space="preserve">Plan %</t>
  </si>
  <si>
    <t xml:space="preserve">Actual %</t>
  </si>
  <si>
    <t xml:space="preserve">Delta</t>
  </si>
  <si>
    <t xml:space="preserve">Delta Color</t>
  </si>
  <si>
    <t xml:space="preserve">Overall</t>
  </si>
  <si>
    <t xml:space="preserve">warn</t>
  </si>
  <si>
    <t xml:space="preserve">Red badge</t>
  </si>
  <si>
    <t xml:space="preserve">Engineering</t>
  </si>
  <si>
    <t xml:space="preserve">good</t>
  </si>
  <si>
    <t xml:space="preserve">Green badge</t>
  </si>
  <si>
    <t xml:space="preserve">Equipment</t>
  </si>
  <si>
    <t xml:space="preserve">mild</t>
  </si>
  <si>
    <t xml:space="preserve">Amber badge</t>
  </si>
  <si>
    <t xml:space="preserve">Construction</t>
  </si>
  <si>
    <t xml:space="preserve">Installation</t>
  </si>
  <si>
    <t xml:space="preserve">Testing &amp; Commissioning</t>
  </si>
  <si>
    <t xml:space="preserve">Red badge; actual bar uses tiny style</t>
  </si>
  <si>
    <t xml:space="preserve">PROGRESS PER CITY — Plan vs Actual (%)</t>
  </si>
  <si>
    <t xml:space="preserve">City</t>
  </si>
  <si>
    <t xml:space="preserve">Madinah</t>
  </si>
  <si>
    <t xml:space="preserve">Abha</t>
  </si>
  <si>
    <t xml:space="preserve">Jizan</t>
  </si>
  <si>
    <t xml:space="preserve">Trails plan the most</t>
  </si>
  <si>
    <t xml:space="preserve">Jeddah</t>
  </si>
  <si>
    <t xml:space="preserve">Makkah</t>
  </si>
  <si>
    <t xml:space="preserve">Leads on actual completion</t>
  </si>
  <si>
    <t xml:space="preserve">Footer Note (italic text shown below chart)</t>
  </si>
  <si>
    <t xml:space="preserve">Jizan trails the plan most; Makkah leads on actual completion.</t>
  </si>
  <si>
    <t xml:space="preserve">PROJECTS TIMELINE — Monthly Milestones</t>
  </si>
  <si>
    <t xml:space="preserve">Month Label</t>
  </si>
  <si>
    <t xml:space="preserve">Has Milestone</t>
  </si>
  <si>
    <t xml:space="preserve">Milestone Text</t>
  </si>
  <si>
    <t xml:space="preserve">Flag Position</t>
  </si>
  <si>
    <t xml:space="preserve">Is TCC Cell</t>
  </si>
  <si>
    <t xml:space="preserve">TCC Box Label</t>
  </si>
  <si>
    <t xml:space="preserve">TCC Box Date</t>
  </si>
  <si>
    <t xml:space="preserve">Nov-24</t>
  </si>
  <si>
    <t xml:space="preserve">YES</t>
  </si>
  <si>
    <t xml:space="preserve">Project Start</t>
  </si>
  <si>
    <t xml:space="preserve">above</t>
  </si>
  <si>
    <t xml:space="preserve">NO</t>
  </si>
  <si>
    <t xml:space="preserve">First month</t>
  </si>
  <si>
    <t xml:space="preserve">Dec-24</t>
  </si>
  <si>
    <t xml:space="preserve">Jan-25</t>
  </si>
  <si>
    <t xml:space="preserve">Feb-25</t>
  </si>
  <si>
    <t xml:space="preserve">Mar-25</t>
  </si>
  <si>
    <t xml:space="preserve">MADINAH P.C.</t>
  </si>
  <si>
    <t xml:space="preserve">Apr-25</t>
  </si>
  <si>
    <t xml:space="preserve">ABHA P.C.</t>
  </si>
  <si>
    <t xml:space="preserve">below</t>
  </si>
  <si>
    <t xml:space="preserve">Flag goes below bar</t>
  </si>
  <si>
    <t xml:space="preserve">May-25</t>
  </si>
  <si>
    <t xml:space="preserve">Jun-25</t>
  </si>
  <si>
    <t xml:space="preserve">JIZAN P.C.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</si>
  <si>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</si>
  <si>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</si>
  <si>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</si>
  <si>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</si>
  <si>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</si>
  <si>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Stringing Start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</si>
  <si>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</si>
  <si>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</si>
  <si>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</si>
  <si>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</si>
  <si>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</si>
  <si>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Orange cell</t>
  </si>
  <si>
    <t xml:space="preserve">May-26</t>
  </si>
  <si>
    <t xml:space="preserve">Jun-26</t>
  </si>
  <si>
    <t xml:space="preserve">Revised TCC</t>
  </si>
  <si>
    <t xml:space="preserve">Red cell</t>
  </si>
  <si>
    <t xml:space="preserve">MAJOR ISSUES STATUS</t>
  </si>
  <si>
    <t xml:space="preserve">#</t>
  </si>
  <si>
    <t xml:space="preserve">Issue Description</t>
  </si>
  <si>
    <t xml:space="preserve">Trade</t>
  </si>
  <si>
    <t xml:space="preserve">Entity</t>
  </si>
  <si>
    <t xml:space="preserve">Required Action</t>
  </si>
  <si>
    <t xml:space="preserve">Priority</t>
  </si>
  <si>
    <t xml:space="preserve">Shortage of tower materials by SEC (02 No's)</t>
  </si>
  <si>
    <t xml:space="preserve">SEC</t>
  </si>
  <si>
    <t xml:space="preserve">Escalated to SEC-PDC; shortage list shared to push supplier. Continuous follow-up to expedite delivery.</t>
  </si>
  <si>
    <t xml:space="preserve">HIGH</t>
  </si>
  <si>
    <t xml:space="preserve">Delay in delivery of special towers by Alfanar</t>
  </si>
  <si>
    <t xml:space="preserve">Energiya</t>
  </si>
  <si>
    <t xml:space="preserve">12 of 14 towers received; remaining 2 (UDE-II) in progress. Continuous follow-up with supplier.</t>
  </si>
  <si>
    <t xml:space="preserve">Delay in UGC works near TADCO S/S</t>
  </si>
  <si>
    <t xml:space="preserve">SEC advised to start excavation from 26-Apr-26. Continuous follow-up to avoid further delay.</t>
  </si>
  <si>
    <t xml:space="preserve">MEDIUM</t>
  </si>
  <si>
    <t xml:space="preserve">EQUIPMENT STATUS</t>
  </si>
  <si>
    <t xml:space="preserve">Vendor</t>
  </si>
  <si>
    <t xml:space="preserve">PO</t>
  </si>
  <si>
    <t xml:space="preserve">GAFM</t>
  </si>
  <si>
    <t xml:space="preserve">FAT</t>
  </si>
  <si>
    <t xml:space="preserve">Delivery</t>
  </si>
  <si>
    <t xml:space="preserve">Status</t>
  </si>
  <si>
    <t xml:space="preserve">Insulator</t>
  </si>
  <si>
    <t xml:space="preserve">Zape</t>
  </si>
  <si>
    <t xml:space="preserve">Issued</t>
  </si>
  <si>
    <t xml:space="preserve">OK</t>
  </si>
  <si>
    <t xml:space="preserve">Cable termination</t>
  </si>
  <si>
    <t xml:space="preserve">PFISTER</t>
  </si>
  <si>
    <t xml:space="preserve">Lattice Steel Gantry</t>
  </si>
  <si>
    <t xml:space="preserve">Line hardware</t>
  </si>
  <si>
    <t xml:space="preserve">Dalekovod</t>
  </si>
  <si>
    <t xml:space="preserve">Dampers</t>
  </si>
  <si>
    <t xml:space="preserve">PTE</t>
  </si>
  <si>
    <t xml:space="preserve">Power Cables</t>
  </si>
  <si>
    <t xml:space="preserve">Bahara</t>
  </si>
  <si>
    <t xml:space="preserve">Surge Arrester</t>
  </si>
  <si>
    <t xml:space="preserve">Tridelta</t>
  </si>
  <si>
    <t xml:space="preserve">Lattice Steel Tower</t>
  </si>
  <si>
    <t xml:space="preserve">98%</t>
  </si>
  <si>
    <t xml:space="preserve">DELAYED</t>
  </si>
  <si>
    <t xml:space="preserve">FOOTER — Classification &amp; Branding</t>
  </si>
  <si>
    <t xml:space="preserve">Classification</t>
  </si>
  <si>
    <t xml:space="preserve">Public</t>
  </si>
  <si>
    <t xml:space="preserve">Prepared Date</t>
  </si>
  <si>
    <t xml:space="preserve">18 Apr 2026</t>
  </si>
  <si>
    <t xml:space="preserve">Department</t>
  </si>
  <si>
    <t xml:space="preserve">alfanar OHTL Projects</t>
  </si>
  <si>
    <t xml:space="preserve">Brand Name</t>
  </si>
  <si>
    <t xml:space="preserve">alfanar</t>
  </si>
  <si>
    <t xml:space="preserve">Copy A1 → paste as text → save as data.json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</si>
</sst>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B2733"/>
      <name val="Arial"/>
      <family val="0"/>
      <charset val="1"/>
    </font>
    <font>
      <b val="true"/>
      <sz val="10"/>
      <color rgb="FFC0181D"/>
      <name val="Arial"/>
      <family val="0"/>
      <charset val="1"/>
    </font>
    <font>
      <sz val="9"/>
      <color rgb="FF6C7C8C"/>
      <name val="Arial"/>
      <family val="0"/>
      <charset val="1"/>
    </font>
    <font>
      <sz val="9"/>
      <name val="Courier New"/>
      <family val="0"/>
      <charset val="1"/>
    </font>
    <font>
      <i val="true"/>
      <sz val="10"/>
      <color rgb="FF888888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C85F10"/>
        <bgColor rgb="FFE87722"/>
      </patternFill>
    </fill>
    <fill>
      <patternFill patternType="solid">
        <fgColor rgb="FF1F8F3D"/>
        <bgColor rgb="FF0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40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2</v>
      </c>
    </row>
    <row r="3" customFormat="false" ht="15.75" hidden="false" customHeight="true" outlineLevel="0" collapsed="false">
      <c r="A3" s="4" t="s">
        <v>3</v>
      </c>
      <c r="B3" s="5" t="s">
        <v>4</v>
      </c>
    </row>
    <row r="4" customFormat="false" ht="15.75" hidden="false" customHeight="true" outlineLevel="0" collapsed="false">
      <c r="A4" s="6" t="s">
        <v>5</v>
      </c>
      <c r="B4" s="5" t="s">
        <v>6</v>
      </c>
    </row>
    <row r="5" customFormat="false" ht="15.75" hidden="false" customHeight="true" outlineLevel="0" collapsed="false">
      <c r="A5" s="4" t="s">
        <v>7</v>
      </c>
      <c r="B5" s="5" t="s">
        <v>8</v>
      </c>
    </row>
    <row r="6" customFormat="false" ht="15.75" hidden="false" customHeight="true" outlineLevel="0" collapsed="false">
      <c r="A6" s="6" t="s">
        <v>9</v>
      </c>
      <c r="B6" s="5" t="s">
        <v>10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3" min="3" style="1" width="40"/>
  </cols>
  <sheetData>
    <row r="1" customFormat="false" ht="21.75" hidden="false" customHeight="true" outlineLevel="0" collapsed="false">
      <c r="A1" s="2" t="s">
        <v>11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12</v>
      </c>
      <c r="C2" s="3" t="s">
        <v>13</v>
      </c>
    </row>
    <row r="3" customFormat="false" ht="15.75" hidden="false" customHeight="true" outlineLevel="0" collapsed="false">
      <c r="A3" s="4" t="s">
        <v>14</v>
      </c>
      <c r="B3" s="5" t="s">
        <v>15</v>
      </c>
      <c r="C3" s="4"/>
    </row>
    <row r="4" customFormat="false" ht="15.75" hidden="false" customHeight="true" outlineLevel="0" collapsed="false">
      <c r="A4" s="6" t="s">
        <v>16</v>
      </c>
      <c r="B4" s="5" t="s">
        <v>17</v>
      </c>
      <c r="C4" s="6"/>
    </row>
    <row r="5" customFormat="false" ht="15.75" hidden="false" customHeight="true" outlineLevel="0" collapsed="false">
      <c r="A5" s="4" t="s">
        <v>18</v>
      </c>
      <c r="B5" s="5" t="s">
        <v>19</v>
      </c>
      <c r="C5" s="4"/>
    </row>
    <row r="6" customFormat="false" ht="15.75" hidden="false" customHeight="true" outlineLevel="0" collapsed="false">
      <c r="A6" s="6" t="s">
        <v>20</v>
      </c>
      <c r="B6" s="5" t="s">
        <v>21</v>
      </c>
      <c r="C6" s="6"/>
    </row>
    <row r="7" customFormat="false" ht="15.75" hidden="false" customHeight="true" outlineLevel="0" collapsed="false">
      <c r="A7" s="4" t="s">
        <v>22</v>
      </c>
      <c r="B7" s="5" t="s">
        <v>23</v>
      </c>
      <c r="C7" s="4"/>
    </row>
    <row r="8" customFormat="false" ht="15.75" hidden="false" customHeight="true" outlineLevel="0" collapsed="false">
      <c r="A8" s="6" t="s">
        <v>24</v>
      </c>
      <c r="B8" s="5" t="s">
        <v>25</v>
      </c>
      <c r="C8" s="6" t="s">
        <v>26</v>
      </c>
    </row>
    <row r="9" customFormat="false" ht="15.75" hidden="false" customHeight="true" outlineLevel="0" collapsed="false">
      <c r="A9" s="4" t="s">
        <v>27</v>
      </c>
      <c r="B9" s="5" t="s">
        <v>28</v>
      </c>
      <c r="C9" s="4" t="s">
        <v>29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40"/>
  </cols>
  <sheetData>
    <row r="1" customFormat="false" ht="21.75" hidden="false" customHeight="true" outlineLevel="0" collapsed="false">
      <c r="A1" s="2" t="s">
        <v>30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31</v>
      </c>
      <c r="C2" s="3" t="s">
        <v>32</v>
      </c>
      <c r="D2" s="3" t="s">
        <v>13</v>
      </c>
    </row>
    <row r="3" customFormat="false" ht="15.75" hidden="false" customHeight="true" outlineLevel="0" collapsed="false">
      <c r="A3" s="4" t="s">
        <v>33</v>
      </c>
      <c r="B3" s="5" t="n">
        <v>388016486</v>
      </c>
      <c r="C3" s="4"/>
      <c r="D3" s="4"/>
    </row>
    <row r="4" customFormat="false" ht="15.75" hidden="false" customHeight="true" outlineLevel="0" collapsed="false">
      <c r="A4" s="6" t="s">
        <v>34</v>
      </c>
      <c r="B4" s="5" t="n">
        <v>0</v>
      </c>
      <c r="C4" s="6"/>
      <c r="D4" s="6"/>
    </row>
    <row r="5" customFormat="false" ht="15.75" hidden="false" customHeight="true" outlineLevel="0" collapsed="false">
      <c r="A5" s="4" t="s">
        <v>35</v>
      </c>
      <c r="B5" s="5" t="n">
        <v>0</v>
      </c>
      <c r="C5" s="4"/>
      <c r="D5" s="4"/>
    </row>
    <row r="6" customFormat="false" ht="15.75" hidden="false" customHeight="true" outlineLevel="0" collapsed="false">
      <c r="A6" s="6" t="s">
        <v>36</v>
      </c>
      <c r="B6" s="5" t="n">
        <v>0</v>
      </c>
      <c r="C6" s="6"/>
      <c r="D6" s="6"/>
    </row>
    <row r="7" customFormat="false" ht="15.75" hidden="false" customHeight="true" outlineLevel="0" collapsed="false">
      <c r="A7" s="4" t="s">
        <v>37</v>
      </c>
      <c r="B7" s="5" t="n">
        <v>388016486</v>
      </c>
      <c r="C7" s="4"/>
      <c r="D7" s="4" t="s">
        <v>38</v>
      </c>
    </row>
    <row r="8" customFormat="false" ht="15.75" hidden="false" customHeight="true" outlineLevel="0" collapsed="false">
      <c r="A8" s="6" t="s">
        <v>39</v>
      </c>
      <c r="B8" s="5" t="n">
        <v>34426811</v>
      </c>
      <c r="C8" s="6"/>
      <c r="D8" s="6"/>
    </row>
    <row r="9" customFormat="false" ht="15.75" hidden="false" customHeight="true" outlineLevel="0" collapsed="false">
      <c r="A9" s="4" t="s">
        <v>40</v>
      </c>
      <c r="B9" s="5" t="n">
        <v>15596872</v>
      </c>
      <c r="C9" s="4" t="s">
        <v>41</v>
      </c>
      <c r="D9" s="4" t="s">
        <v>42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40"/>
  </cols>
  <sheetData>
    <row r="1" customFormat="false" ht="21.7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2</v>
      </c>
      <c r="C2" s="3" t="s">
        <v>32</v>
      </c>
      <c r="D2" s="3" t="s">
        <v>13</v>
      </c>
    </row>
    <row r="3" customFormat="false" ht="15.75" hidden="false" customHeight="true" outlineLevel="0" collapsed="false">
      <c r="A3" s="4" t="s">
        <v>44</v>
      </c>
      <c r="B3" s="5" t="n">
        <v>355587125</v>
      </c>
      <c r="C3" s="4"/>
      <c r="D3" s="4" t="s">
        <v>45</v>
      </c>
    </row>
    <row r="4" customFormat="false" ht="15.75" hidden="false" customHeight="true" outlineLevel="0" collapsed="false">
      <c r="A4" s="6" t="s">
        <v>46</v>
      </c>
      <c r="B4" s="5" t="s">
        <v>47</v>
      </c>
      <c r="C4" s="6"/>
      <c r="D4" s="6" t="s">
        <v>48</v>
      </c>
    </row>
    <row r="5" customFormat="false" ht="15.75" hidden="false" customHeight="true" outlineLevel="0" collapsed="false">
      <c r="A5" s="4" t="s">
        <v>49</v>
      </c>
      <c r="B5" s="5" t="s">
        <v>50</v>
      </c>
      <c r="C5" s="4" t="s">
        <v>51</v>
      </c>
      <c r="D5" s="4" t="s">
        <v>52</v>
      </c>
    </row>
    <row r="6" customFormat="false" ht="15.75" hidden="false" customHeight="true" outlineLevel="0" collapsed="false">
      <c r="A6" s="6" t="s">
        <v>39</v>
      </c>
      <c r="B6" s="5" t="n">
        <v>34426811</v>
      </c>
      <c r="C6" s="6"/>
      <c r="D6" s="6" t="s">
        <v>45</v>
      </c>
    </row>
    <row r="7" customFormat="false" ht="15.75" hidden="false" customHeight="true" outlineLevel="0" collapsed="false">
      <c r="A7" s="4" t="s">
        <v>40</v>
      </c>
      <c r="B7" s="5" t="n">
        <v>15596872</v>
      </c>
      <c r="C7" s="4"/>
      <c r="D7" s="4" t="s">
        <v>45</v>
      </c>
    </row>
    <row r="8" customFormat="false" ht="15.75" hidden="false" customHeight="true" outlineLevel="0" collapsed="false">
      <c r="A8" s="6" t="s">
        <v>53</v>
      </c>
      <c r="B8" s="5" t="s">
        <v>54</v>
      </c>
      <c r="C8" s="6"/>
      <c r="D8" s="6" t="s">
        <v>55</v>
      </c>
    </row>
    <row r="9" customFormat="false" ht="15.75" hidden="false" customHeight="true" outlineLevel="0" collapsed="false">
      <c r="A9" s="4" t="s">
        <v>56</v>
      </c>
      <c r="B9" s="5" t="s">
        <v>57</v>
      </c>
      <c r="C9" s="4"/>
      <c r="D9" s="4" t="s">
        <v>58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35"/>
  </cols>
  <sheetData>
    <row r="1" customFormat="false" ht="21.75" hidden="false" customHeight="true" outlineLevel="0" collapsed="false">
      <c r="A1" s="2" t="s">
        <v>59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31</v>
      </c>
      <c r="C2" s="3" t="s">
        <v>60</v>
      </c>
      <c r="D2" s="3" t="s">
        <v>61</v>
      </c>
      <c r="E2" s="3" t="s">
        <v>13</v>
      </c>
    </row>
    <row r="3" customFormat="false" ht="15.75" hidden="false" customHeight="true" outlineLevel="0" collapsed="false">
      <c r="A3" s="4" t="s">
        <v>62</v>
      </c>
      <c r="B3" s="5" t="n">
        <v>204059236</v>
      </c>
      <c r="C3" s="4" t="s">
        <v>63</v>
      </c>
      <c r="D3" s="4" t="s">
        <v>64</v>
      </c>
      <c r="E3" s="4"/>
    </row>
    <row r="4" customFormat="false" ht="15.75" hidden="false" customHeight="true" outlineLevel="0" collapsed="false">
      <c r="A4" s="6" t="s">
        <v>65</v>
      </c>
      <c r="B4" s="5" t="n">
        <v>152961744</v>
      </c>
      <c r="C4" s="6" t="s">
        <v>66</v>
      </c>
      <c r="D4" s="6" t="s">
        <v>67</v>
      </c>
      <c r="E4" s="6"/>
    </row>
    <row r="5" customFormat="false" ht="15.75" hidden="false" customHeight="true" outlineLevel="0" collapsed="false">
      <c r="A5" s="4" t="s">
        <v>68</v>
      </c>
      <c r="B5" s="5" t="n">
        <v>152961744</v>
      </c>
      <c r="C5" s="4" t="s">
        <v>66</v>
      </c>
      <c r="D5" s="4" t="s">
        <v>67</v>
      </c>
      <c r="E5" s="4"/>
    </row>
    <row r="6" customFormat="false" ht="15.75" hidden="false" customHeight="true" outlineLevel="0" collapsed="false">
      <c r="A6" s="6" t="s">
        <v>69</v>
      </c>
      <c r="B6" s="5" t="n">
        <v>0</v>
      </c>
      <c r="C6" s="6"/>
      <c r="D6" s="6" t="s">
        <v>70</v>
      </c>
      <c r="E6" s="6"/>
    </row>
    <row r="7" customFormat="false" ht="15.75" hidden="false" customHeight="true" outlineLevel="0" collapsed="false">
      <c r="A7" s="4" t="s">
        <v>71</v>
      </c>
      <c r="B7" s="5" t="n">
        <v>68039022</v>
      </c>
      <c r="C7" s="4" t="s">
        <v>72</v>
      </c>
      <c r="D7" s="4" t="s">
        <v>67</v>
      </c>
      <c r="E7" s="4"/>
    </row>
    <row r="8" customFormat="false" ht="15.75" hidden="false" customHeight="true" outlineLevel="0" collapsed="false">
      <c r="A8" s="6" t="s">
        <v>73</v>
      </c>
      <c r="B8" s="5" t="s">
        <v>74</v>
      </c>
      <c r="C8" s="6"/>
      <c r="D8" s="6" t="s">
        <v>70</v>
      </c>
      <c r="E8" s="6" t="s">
        <v>75</v>
      </c>
    </row>
    <row r="9" customFormat="false" ht="15.75" hidden="false" customHeight="true" outlineLevel="0" collapsed="false">
      <c r="A9" s="4" t="s">
        <v>76</v>
      </c>
      <c r="B9" s="5" t="s">
        <v>77</v>
      </c>
      <c r="C9" s="4"/>
      <c r="D9" s="4" t="s">
        <v>78</v>
      </c>
      <c r="E9" s="4" t="s">
        <v>75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40"/>
  </cols>
  <sheetData>
    <row r="1" customFormat="false" ht="21.75" hidden="false" customHeight="true" outlineLevel="0" collapsed="false">
      <c r="A1" s="2" t="s">
        <v>79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80</v>
      </c>
      <c r="C2" s="3" t="s">
        <v>81</v>
      </c>
      <c r="D2" s="3" t="s">
        <v>13</v>
      </c>
    </row>
    <row r="3" customFormat="false" ht="15.75" hidden="false" customHeight="true" outlineLevel="0" collapsed="false">
      <c r="A3" s="4" t="s">
        <v>82</v>
      </c>
      <c r="B3" s="5" t="n">
        <v>-61.1</v>
      </c>
      <c r="C3" s="4"/>
      <c r="D3" s="4" t="s">
        <v>83</v>
      </c>
    </row>
    <row r="4" customFormat="false" ht="15.75" hidden="false" customHeight="true" outlineLevel="0" collapsed="false">
      <c r="A4" s="6" t="s">
        <v>84</v>
      </c>
      <c r="B4" s="5" t="s">
        <v>85</v>
      </c>
      <c r="C4" s="6"/>
      <c r="D4" s="6" t="s">
        <v>86</v>
      </c>
    </row>
    <row r="5" customFormat="false" ht="15.75" hidden="false" customHeight="true" outlineLevel="0" collapsed="false">
      <c r="A5" s="4" t="s">
        <v>87</v>
      </c>
      <c r="B5" s="5" t="n">
        <v>68</v>
      </c>
      <c r="C5" s="4" t="s">
        <v>88</v>
      </c>
      <c r="D5" s="4" t="s">
        <v>89</v>
      </c>
    </row>
    <row r="6" customFormat="false" ht="15.75" hidden="false" customHeight="true" outlineLevel="0" collapsed="false">
      <c r="A6" s="6" t="s">
        <v>90</v>
      </c>
      <c r="B6" s="5" t="n">
        <v>129.2</v>
      </c>
      <c r="C6" s="6" t="s">
        <v>47</v>
      </c>
      <c r="D6" s="6" t="s">
        <v>91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"/>
    <col collapsed="false" customWidth="true" hidden="false" outlineLevel="0" max="3" min="3" style="1" width="50"/>
    <col collapsed="false" customWidth="true" hidden="false" outlineLevel="0" max="4" min="4" style="1" width="10"/>
  </cols>
  <sheetData>
    <row r="1" customFormat="false" ht="21.75" hidden="false" customHeight="true" outlineLevel="0" collapsed="false">
      <c r="A1" s="2" t="s">
        <v>92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7" t="s">
        <v>93</v>
      </c>
      <c r="B2" s="7"/>
      <c r="C2" s="7"/>
      <c r="D2" s="7"/>
    </row>
    <row r="3" customFormat="false" ht="18" hidden="false" customHeight="true" outlineLevel="0" collapsed="false">
      <c r="A3" s="3" t="s">
        <v>1</v>
      </c>
      <c r="B3" s="3" t="s">
        <v>2</v>
      </c>
      <c r="C3" s="3" t="s">
        <v>13</v>
      </c>
      <c r="D3" s="3"/>
    </row>
    <row r="4" customFormat="false" ht="15.75" hidden="false" customHeight="true" outlineLevel="0" collapsed="false">
      <c r="A4" s="6" t="s">
        <v>94</v>
      </c>
      <c r="B4" s="5" t="n">
        <v>147</v>
      </c>
      <c r="C4" s="6" t="s">
        <v>95</v>
      </c>
      <c r="D4" s="6"/>
    </row>
    <row r="5" customFormat="false" ht="15.75" hidden="false" customHeight="true" outlineLevel="0" collapsed="false">
      <c r="A5" s="4" t="s">
        <v>96</v>
      </c>
      <c r="B5" s="5" t="n">
        <v>117</v>
      </c>
      <c r="C5" s="4" t="s">
        <v>97</v>
      </c>
      <c r="D5" s="4"/>
    </row>
    <row r="6" customFormat="false" ht="15.75" hidden="false" customHeight="true" outlineLevel="0" collapsed="false">
      <c r="A6" s="6" t="s">
        <v>98</v>
      </c>
      <c r="B6" s="5" t="n">
        <v>30</v>
      </c>
      <c r="C6" s="6" t="s">
        <v>99</v>
      </c>
      <c r="D6" s="6"/>
    </row>
    <row r="7" customFormat="false" ht="15.75" hidden="false" customHeight="true" outlineLevel="0" collapsed="false">
      <c r="A7" s="4" t="s">
        <v>100</v>
      </c>
      <c r="B7" s="5" t="s">
        <v>101</v>
      </c>
      <c r="C7" s="4" t="s">
        <v>102</v>
      </c>
      <c r="D7" s="4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103</v>
      </c>
      <c r="B9" s="7"/>
      <c r="C9" s="7"/>
      <c r="D9" s="7"/>
    </row>
    <row r="10" customFormat="false" ht="18" hidden="false" customHeight="true" outlineLevel="0" collapsed="false">
      <c r="A10" s="3" t="s">
        <v>104</v>
      </c>
      <c r="B10" s="3" t="s">
        <v>105</v>
      </c>
      <c r="C10" s="3" t="s">
        <v>13</v>
      </c>
      <c r="D10" s="3"/>
    </row>
    <row r="11" customFormat="false" ht="15.75" hidden="false" customHeight="true" outlineLevel="0" collapsed="false">
      <c r="A11" s="4" t="s">
        <v>106</v>
      </c>
      <c r="B11" s="5" t="n">
        <v>42</v>
      </c>
      <c r="C11" s="4" t="s">
        <v>107</v>
      </c>
      <c r="D11" s="4"/>
    </row>
    <row r="12" customFormat="false" ht="15.75" hidden="false" customHeight="true" outlineLevel="0" collapsed="false">
      <c r="A12" s="6" t="s">
        <v>108</v>
      </c>
      <c r="B12" s="5" t="n">
        <v>75</v>
      </c>
      <c r="C12" s="6" t="s">
        <v>107</v>
      </c>
      <c r="D12" s="6"/>
    </row>
    <row r="13" customFormat="false" ht="6" hidden="false" customHeight="true" outlineLevel="0" collapsed="false"/>
    <row r="14" customFormat="false" ht="15" hidden="false" customHeight="true" outlineLevel="0" collapsed="false">
      <c r="A14" s="7" t="s">
        <v>109</v>
      </c>
      <c r="B14" s="7"/>
      <c r="C14" s="7"/>
      <c r="D14" s="7"/>
    </row>
    <row r="15" customFormat="false" ht="18" hidden="false" customHeight="true" outlineLevel="0" collapsed="false">
      <c r="A15" s="3" t="s">
        <v>110</v>
      </c>
      <c r="B15" s="3" t="s">
        <v>2</v>
      </c>
      <c r="C15" s="3" t="s">
        <v>111</v>
      </c>
      <c r="D15" s="3"/>
    </row>
    <row r="16" customFormat="false" ht="15.75" hidden="false" customHeight="true" outlineLevel="0" collapsed="false">
      <c r="A16" s="6" t="s">
        <v>112</v>
      </c>
      <c r="B16" s="5" t="n">
        <f aca="false">B4/B5*100</f>
        <v>125.641025641026</v>
      </c>
      <c r="C16" s="6" t="s">
        <v>113</v>
      </c>
      <c r="D16" s="6"/>
    </row>
    <row r="17" customFormat="false" ht="15.75" hidden="false" customHeight="true" outlineLevel="0" collapsed="false">
      <c r="A17" s="4" t="s">
        <v>114</v>
      </c>
      <c r="B17" s="5" t="n">
        <f aca="false">B6/B5*100</f>
        <v>25.6410256410256</v>
      </c>
      <c r="C17" s="4" t="s">
        <v>115</v>
      </c>
      <c r="D17" s="4"/>
    </row>
    <row r="18" customFormat="false" ht="15.75" hidden="false" customHeight="true" outlineLevel="0" collapsed="false">
      <c r="A18" s="6" t="s">
        <v>116</v>
      </c>
      <c r="B18" s="5" t="n">
        <f aca="false">B16</f>
        <v>125.641025641026</v>
      </c>
      <c r="C18" s="6" t="s">
        <v>117</v>
      </c>
      <c r="D18" s="6"/>
    </row>
    <row r="19" customFormat="false" ht="15.75" hidden="false" customHeight="true" outlineLevel="0" collapsed="false">
      <c r="A19" s="4" t="s">
        <v>118</v>
      </c>
      <c r="B19" s="5" t="n">
        <f aca="false">100-B16</f>
        <v>-25.6410256410256</v>
      </c>
      <c r="C19" s="4" t="s">
        <v>119</v>
      </c>
      <c r="D19" s="4"/>
    </row>
    <row r="20" customFormat="false" ht="15.75" hidden="false" customHeight="true" outlineLevel="0" collapsed="false">
      <c r="A20" s="6" t="s">
        <v>120</v>
      </c>
      <c r="B20" s="5" t="n">
        <f aca="false">B17</f>
        <v>25.6410256410256</v>
      </c>
      <c r="C20" s="6" t="s">
        <v>121</v>
      </c>
      <c r="D20" s="6"/>
    </row>
    <row r="21" customFormat="false" ht="15.75" hidden="false" customHeight="true" outlineLevel="0" collapsed="false">
      <c r="A21" s="4" t="s">
        <v>122</v>
      </c>
      <c r="B21" s="5" t="n">
        <f aca="false">100-B17</f>
        <v>74.3589743589744</v>
      </c>
      <c r="C21" s="4" t="s">
        <v>123</v>
      </c>
      <c r="D21" s="4"/>
    </row>
  </sheetData>
  <mergeCells count="4">
    <mergeCell ref="A1:H1"/>
    <mergeCell ref="A2:D2"/>
    <mergeCell ref="A9:D9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0"/>
    <col collapsed="false" customWidth="true" hidden="false" outlineLevel="0" max="5" min="5" style="1" width="16"/>
    <col collapsed="false" customWidth="true" hidden="false" outlineLevel="0" max="6" min="6" style="1" width="35"/>
  </cols>
  <sheetData>
    <row r="1" customFormat="false" ht="21.75" hidden="false" customHeight="true" outlineLevel="0" collapsed="false">
      <c r="A1" s="2" t="s">
        <v>124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125</v>
      </c>
      <c r="B2" s="3" t="s">
        <v>126</v>
      </c>
      <c r="C2" s="3" t="s">
        <v>127</v>
      </c>
      <c r="D2" s="3" t="s">
        <v>128</v>
      </c>
      <c r="E2" s="3" t="s">
        <v>129</v>
      </c>
      <c r="F2" s="3" t="s">
        <v>13</v>
      </c>
    </row>
    <row r="3" customFormat="false" ht="15.75" hidden="false" customHeight="true" outlineLevel="0" collapsed="false">
      <c r="A3" s="4" t="s">
        <v>130</v>
      </c>
      <c r="B3" s="4" t="n">
        <v>89.8</v>
      </c>
      <c r="C3" s="4" t="n">
        <v>81</v>
      </c>
      <c r="D3" s="8" t="n">
        <f aca="false">-C3+B3</f>
        <v>8.8</v>
      </c>
      <c r="E3" s="4" t="s">
        <v>131</v>
      </c>
      <c r="F3" s="4" t="s">
        <v>132</v>
      </c>
    </row>
    <row r="4" customFormat="false" ht="15.75" hidden="false" customHeight="true" outlineLevel="0" collapsed="false">
      <c r="A4" s="6" t="s">
        <v>133</v>
      </c>
      <c r="B4" s="6" t="n">
        <v>100</v>
      </c>
      <c r="C4" s="6" t="n">
        <v>99.1</v>
      </c>
      <c r="D4" s="9" t="n">
        <f aca="false">-C4+B4</f>
        <v>0.900000000000006</v>
      </c>
      <c r="E4" s="6" t="s">
        <v>134</v>
      </c>
      <c r="F4" s="6" t="s">
        <v>135</v>
      </c>
    </row>
    <row r="5" customFormat="false" ht="15.75" hidden="false" customHeight="true" outlineLevel="0" collapsed="false">
      <c r="A5" s="4" t="s">
        <v>136</v>
      </c>
      <c r="B5" s="4" t="n">
        <v>99.9</v>
      </c>
      <c r="C5" s="4" t="n">
        <v>94</v>
      </c>
      <c r="D5" s="8" t="n">
        <f aca="false">-C5+B5</f>
        <v>5.90000000000001</v>
      </c>
      <c r="E5" s="4" t="s">
        <v>137</v>
      </c>
      <c r="F5" s="4" t="s">
        <v>138</v>
      </c>
    </row>
    <row r="6" customFormat="false" ht="15.75" hidden="false" customHeight="true" outlineLevel="0" collapsed="false">
      <c r="A6" s="6" t="s">
        <v>139</v>
      </c>
      <c r="B6" s="6" t="n">
        <v>93.7</v>
      </c>
      <c r="C6" s="6" t="n">
        <v>85.3</v>
      </c>
      <c r="D6" s="9" t="n">
        <f aca="false">-C6+B6</f>
        <v>8.40000000000001</v>
      </c>
      <c r="E6" s="6" t="s">
        <v>131</v>
      </c>
      <c r="F6" s="6" t="s">
        <v>132</v>
      </c>
    </row>
    <row r="7" customFormat="false" ht="15.75" hidden="false" customHeight="true" outlineLevel="0" collapsed="false">
      <c r="A7" s="4" t="s">
        <v>140</v>
      </c>
      <c r="B7" s="4" t="n">
        <v>97.1</v>
      </c>
      <c r="C7" s="4" t="n">
        <v>89.6</v>
      </c>
      <c r="D7" s="8" t="n">
        <f aca="false">-C7+B7</f>
        <v>7.5</v>
      </c>
      <c r="E7" s="4" t="s">
        <v>137</v>
      </c>
      <c r="F7" s="4" t="s">
        <v>138</v>
      </c>
    </row>
    <row r="8" customFormat="false" ht="15.75" hidden="false" customHeight="true" outlineLevel="0" collapsed="false">
      <c r="A8" s="6" t="s">
        <v>141</v>
      </c>
      <c r="B8" s="6" t="n">
        <v>49</v>
      </c>
      <c r="C8" s="6" t="n">
        <v>14.2</v>
      </c>
      <c r="D8" s="9" t="n">
        <f aca="false">-C8+B8</f>
        <v>34.8</v>
      </c>
      <c r="E8" s="6" t="s">
        <v>131</v>
      </c>
      <c r="F8" s="6" t="s">
        <v>142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4" min="2" style="1" width="10"/>
    <col collapsed="false" customWidth="true" hidden="false" outlineLevel="0" max="5" min="5" style="1" width="16"/>
    <col collapsed="false" customWidth="true" hidden="false" outlineLevel="0" max="6" min="6" style="1" width="40"/>
  </cols>
  <sheetData>
    <row r="1" customFormat="false" ht="21.75" hidden="false" customHeight="true" outlineLevel="0" collapsed="false">
      <c r="A1" s="2" t="s">
        <v>143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144</v>
      </c>
      <c r="B2" s="3" t="s">
        <v>126</v>
      </c>
      <c r="C2" s="3" t="s">
        <v>127</v>
      </c>
      <c r="D2" s="3" t="s">
        <v>128</v>
      </c>
      <c r="E2" s="3" t="s">
        <v>129</v>
      </c>
      <c r="F2" s="3" t="s">
        <v>13</v>
      </c>
    </row>
    <row r="3" customFormat="false" ht="15.75" hidden="false" customHeight="true" outlineLevel="0" collapsed="false">
      <c r="A3" s="4" t="s">
        <v>145</v>
      </c>
      <c r="B3" s="4" t="n">
        <v>89.6</v>
      </c>
      <c r="C3" s="4" t="n">
        <v>80.8</v>
      </c>
      <c r="D3" s="8" t="n">
        <f aca="false">-C3+B3</f>
        <v>8.8</v>
      </c>
      <c r="E3" s="4" t="s">
        <v>131</v>
      </c>
      <c r="F3" s="4"/>
    </row>
    <row r="4" customFormat="false" ht="15.75" hidden="false" customHeight="true" outlineLevel="0" collapsed="false">
      <c r="A4" s="6" t="s">
        <v>146</v>
      </c>
      <c r="B4" s="6" t="n">
        <v>88.8</v>
      </c>
      <c r="C4" s="6" t="n">
        <v>80.8</v>
      </c>
      <c r="D4" s="9" t="n">
        <f aca="false">-C4+B4</f>
        <v>8</v>
      </c>
      <c r="E4" s="6" t="s">
        <v>137</v>
      </c>
      <c r="F4" s="6"/>
    </row>
    <row r="5" customFormat="false" ht="15.75" hidden="false" customHeight="true" outlineLevel="0" collapsed="false">
      <c r="A5" s="4" t="s">
        <v>147</v>
      </c>
      <c r="B5" s="4" t="n">
        <v>87</v>
      </c>
      <c r="C5" s="4" t="n">
        <v>76.8</v>
      </c>
      <c r="D5" s="8" t="n">
        <f aca="false">-C5+B5</f>
        <v>10.2</v>
      </c>
      <c r="E5" s="4" t="s">
        <v>131</v>
      </c>
      <c r="F5" s="4" t="s">
        <v>148</v>
      </c>
    </row>
    <row r="6" customFormat="false" ht="15.75" hidden="false" customHeight="true" outlineLevel="0" collapsed="false">
      <c r="A6" s="6" t="s">
        <v>149</v>
      </c>
      <c r="B6" s="6" t="n">
        <v>95</v>
      </c>
      <c r="C6" s="6" t="n">
        <v>83.6</v>
      </c>
      <c r="D6" s="9" t="n">
        <f aca="false">-C6+B6</f>
        <v>11.4</v>
      </c>
      <c r="E6" s="6" t="s">
        <v>131</v>
      </c>
      <c r="F6" s="6"/>
    </row>
    <row r="7" customFormat="false" ht="15.75" hidden="false" customHeight="true" outlineLevel="0" collapsed="false">
      <c r="A7" s="4" t="s">
        <v>150</v>
      </c>
      <c r="B7" s="4" t="n">
        <v>95.1</v>
      </c>
      <c r="C7" s="4" t="n">
        <v>90</v>
      </c>
      <c r="D7" s="8" t="n">
        <f aca="false">-C7+B7</f>
        <v>5.09999999999999</v>
      </c>
      <c r="E7" s="4" t="s">
        <v>137</v>
      </c>
      <c r="F7" s="4" t="s">
        <v>151</v>
      </c>
    </row>
    <row r="8" customFormat="false" ht="15" hidden="false" customHeight="true" outlineLevel="0" collapsed="false">
      <c r="A8" s="10" t="s">
        <v>152</v>
      </c>
      <c r="B8" s="10" t="s">
        <v>153</v>
      </c>
      <c r="C8" s="10"/>
      <c r="D8" s="10"/>
      <c r="E8" s="10"/>
      <c r="F8" s="10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0"/>
  </cols>
  <sheetData>
    <row r="1" customFormat="false" ht="21.7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155</v>
      </c>
      <c r="B2" s="3" t="s">
        <v>156</v>
      </c>
      <c r="C2" s="3" t="s">
        <v>157</v>
      </c>
      <c r="D2" s="3" t="s">
        <v>158</v>
      </c>
      <c r="E2" s="3" t="s">
        <v>159</v>
      </c>
      <c r="F2" s="3" t="s">
        <v>160</v>
      </c>
      <c r="G2" s="3" t="s">
        <v>161</v>
      </c>
      <c r="H2" s="3" t="s">
        <v>13</v>
      </c>
    </row>
    <row r="3" customFormat="false" ht="15.75" hidden="false" customHeight="true" outlineLevel="0" collapsed="false">
      <c r="A3" s="11" t="s">
        <v>162</v>
      </c>
      <c r="B3" s="4" t="s">
        <v>163</v>
      </c>
      <c r="C3" s="4" t="s">
        <v>164</v>
      </c>
      <c r="D3" s="4" t="s">
        <v>165</v>
      </c>
      <c r="E3" s="4" t="s">
        <v>166</v>
      </c>
      <c r="F3" s="4"/>
      <c r="G3" s="4"/>
      <c r="H3" s="4" t="s">
        <v>167</v>
      </c>
    </row>
    <row r="4" customFormat="false" ht="15.75" hidden="false" customHeight="true" outlineLevel="0" collapsed="false">
      <c r="A4" s="6" t="s">
        <v>168</v>
      </c>
      <c r="B4" s="6" t="s">
        <v>166</v>
      </c>
      <c r="C4" s="6"/>
      <c r="D4" s="6"/>
      <c r="E4" s="6" t="s">
        <v>166</v>
      </c>
      <c r="F4" s="6"/>
      <c r="G4" s="6"/>
      <c r="H4" s="6"/>
    </row>
    <row r="5" customFormat="false" ht="15.75" hidden="false" customHeight="true" outlineLevel="0" collapsed="false">
      <c r="A5" s="4" t="s">
        <v>169</v>
      </c>
      <c r="B5" s="4" t="s">
        <v>166</v>
      </c>
      <c r="C5" s="4"/>
      <c r="D5" s="4"/>
      <c r="E5" s="4" t="s">
        <v>166</v>
      </c>
      <c r="F5" s="4"/>
      <c r="G5" s="4"/>
      <c r="H5" s="4"/>
    </row>
    <row r="6" customFormat="false" ht="15.75" hidden="false" customHeight="true" outlineLevel="0" collapsed="false">
      <c r="A6" s="6" t="s">
        <v>170</v>
      </c>
      <c r="B6" s="6" t="s">
        <v>166</v>
      </c>
      <c r="C6" s="6"/>
      <c r="D6" s="6"/>
      <c r="E6" s="6" t="s">
        <v>166</v>
      </c>
      <c r="F6" s="6"/>
      <c r="G6" s="6"/>
      <c r="H6" s="6"/>
    </row>
    <row r="7" customFormat="false" ht="15.75" hidden="false" customHeight="true" outlineLevel="0" collapsed="false">
      <c r="A7" s="11" t="s">
        <v>171</v>
      </c>
      <c r="B7" s="4" t="s">
        <v>163</v>
      </c>
      <c r="C7" s="4" t="s">
        <v>172</v>
      </c>
      <c r="D7" s="4" t="s">
        <v>165</v>
      </c>
      <c r="E7" s="4" t="s">
        <v>166</v>
      </c>
      <c r="F7" s="4"/>
      <c r="G7" s="4"/>
      <c r="H7" s="4"/>
    </row>
    <row r="8" customFormat="false" ht="15.75" hidden="false" customHeight="true" outlineLevel="0" collapsed="false">
      <c r="A8" s="11" t="s">
        <v>173</v>
      </c>
      <c r="B8" s="6" t="s">
        <v>163</v>
      </c>
      <c r="C8" s="6" t="s">
        <v>174</v>
      </c>
      <c r="D8" s="6" t="s">
        <v>175</v>
      </c>
      <c r="E8" s="6" t="s">
        <v>166</v>
      </c>
      <c r="F8" s="6"/>
      <c r="G8" s="6"/>
      <c r="H8" s="6" t="s">
        <v>176</v>
      </c>
    </row>
    <row r="9" customFormat="false" ht="15.75" hidden="false" customHeight="true" outlineLevel="0" collapsed="false">
      <c r="A9" s="4" t="s">
        <v>177</v>
      </c>
      <c r="B9" s="4" t="s">
        <v>166</v>
      </c>
      <c r="C9" s="4"/>
      <c r="D9" s="4"/>
      <c r="E9" s="4" t="s">
        <v>166</v>
      </c>
      <c r="F9" s="4"/>
      <c r="G9" s="4"/>
      <c r="H9" s="4"/>
    </row>
    <row r="10" customFormat="false" ht="15.75" hidden="false" customHeight="true" outlineLevel="0" collapsed="false">
      <c r="A10" s="11" t="s">
        <v>178</v>
      </c>
      <c r="B10" s="6" t="s">
        <v>163</v>
      </c>
      <c r="C10" s="6" t="s">
        <v>179</v>
      </c>
      <c r="D10" s="6" t="s">
        <v>165</v>
      </c>
      <c r="E10" s="6" t="s">
        <v>166</v>
      </c>
      <c r="F10" s="6"/>
      <c r="G10" s="6"/>
      <c r="H10" s="6"/>
    </row>
    <row r="11" customFormat="false" ht="15.75" hidden="false" customHeight="true" outlineLevel="0" collapsed="false">
      <c r="A11" s="4" t="s">
        <v>180</v>
      </c>
      <c r="B11" s="4" t="s">
        <v>166</v>
      </c>
      <c r="C11" s="4"/>
      <c r="D11" s="4"/>
      <c r="E11" s="4" t="s">
        <v>166</v>
      </c>
      <c r="F11" s="4"/>
      <c r="G11" s="4"/>
      <c r="H11" s="4"/>
    </row>
    <row r="12" customFormat="false" ht="15.75" hidden="false" customHeight="true" outlineLevel="0" collapsed="false">
      <c r="A12" s="6" t="s">
        <v>181</v>
      </c>
      <c r="B12" s="6" t="s">
        <v>166</v>
      </c>
      <c r="C12" s="6"/>
      <c r="D12" s="6"/>
      <c r="E12" s="6" t="s">
        <v>166</v>
      </c>
      <c r="F12" s="6"/>
      <c r="G12" s="6"/>
      <c r="H12" s="6"/>
    </row>
    <row r="13" customFormat="false" ht="15.75" hidden="false" customHeight="true" outlineLevel="0" collapsed="false">
      <c r="A13" s="4" t="s">
        <v>182</v>
      </c>
      <c r="B13" s="4" t="s">
        <v>166</v>
      </c>
      <c r="C13" s="4"/>
      <c r="D13" s="4"/>
      <c r="E13" s="4" t="s">
        <v>166</v>
      </c>
      <c r="F13" s="4"/>
      <c r="G13" s="4"/>
      <c r="H13" s="4"/>
    </row>
    <row r="14" customFormat="false" ht="15.75" hidden="false" customHeight="true" outlineLevel="0" collapsed="false">
      <c r="A14" s="6" t="s">
        <v>183</v>
      </c>
      <c r="B14" s="6" t="s">
        <v>166</v>
      </c>
      <c r="C14" s="6"/>
      <c r="D14" s="6"/>
      <c r="E14" s="6" t="s">
        <v>166</v>
      </c>
      <c r="F14" s="6"/>
      <c r="G14" s="6"/>
      <c r="H14" s="6"/>
    </row>
    <row r="15" customFormat="false" ht="15.75" hidden="false" customHeight="true" outlineLevel="0" collapsed="false">
      <c r="A15" s="11" t="s">
        <v>184</v>
      </c>
      <c r="B15" s="4" t="s">
        <v>163</v>
      </c>
      <c r="C15" s="4" t="s">
        <v>185</v>
      </c>
      <c r="D15" s="4" t="s">
        <v>165</v>
      </c>
      <c r="E15" s="4" t="s">
        <v>166</v>
      </c>
      <c r="F15" s="4"/>
      <c r="G15" s="4"/>
      <c r="H15" s="4"/>
    </row>
    <row r="16" customFormat="false" ht="15.75" hidden="false" customHeight="true" outlineLevel="0" collapsed="false">
      <c r="A16" s="6" t="s">
        <v>186</v>
      </c>
      <c r="B16" s="6" t="s">
        <v>166</v>
      </c>
      <c r="C16" s="6"/>
      <c r="D16" s="6"/>
      <c r="E16" s="6" t="s">
        <v>166</v>
      </c>
      <c r="F16" s="6"/>
      <c r="G16" s="6"/>
      <c r="H16" s="6"/>
    </row>
    <row r="17" customFormat="false" ht="15.75" hidden="false" customHeight="true" outlineLevel="0" collapsed="false">
      <c r="A17" s="4" t="s">
        <v>187</v>
      </c>
      <c r="B17" s="4" t="s">
        <v>166</v>
      </c>
      <c r="C17" s="4"/>
      <c r="D17" s="4"/>
      <c r="E17" s="4" t="s">
        <v>166</v>
      </c>
      <c r="F17" s="4"/>
      <c r="G17" s="4"/>
      <c r="H17" s="4"/>
    </row>
    <row r="18" customFormat="false" ht="15.75" hidden="false" customHeight="true" outlineLevel="0" collapsed="false">
      <c r="A18" s="6" t="s">
        <v>188</v>
      </c>
      <c r="B18" s="6" t="s">
        <v>166</v>
      </c>
      <c r="C18" s="6"/>
      <c r="D18" s="6"/>
      <c r="E18" s="6" t="s">
        <v>166</v>
      </c>
      <c r="F18" s="6"/>
      <c r="G18" s="6"/>
      <c r="H18" s="6"/>
    </row>
    <row r="19" customFormat="false" ht="15.75" hidden="false" customHeight="true" outlineLevel="0" collapsed="false">
      <c r="A19" s="4" t="s">
        <v>189</v>
      </c>
      <c r="B19" s="4" t="s">
        <v>166</v>
      </c>
      <c r="C19" s="4"/>
      <c r="D19" s="4"/>
      <c r="E19" s="4" t="s">
        <v>166</v>
      </c>
      <c r="F19" s="4"/>
      <c r="G19" s="4"/>
      <c r="H19" s="4"/>
    </row>
    <row r="20" customFormat="false" ht="15.75" hidden="false" customHeight="true" outlineLevel="0" collapsed="false">
      <c r="A20" s="12" t="s">
        <v>190</v>
      </c>
      <c r="B20" s="12" t="s">
        <v>166</v>
      </c>
      <c r="C20" s="12"/>
      <c r="D20" s="12"/>
      <c r="E20" s="12" t="s">
        <v>163</v>
      </c>
      <c r="F20" s="12" t="s">
        <v>24</v>
      </c>
      <c r="G20" s="12" t="s">
        <v>25</v>
      </c>
      <c r="H20" s="12" t="s">
        <v>191</v>
      </c>
    </row>
    <row r="21" customFormat="false" ht="15.75" hidden="false" customHeight="true" outlineLevel="0" collapsed="false">
      <c r="A21" s="4" t="s">
        <v>192</v>
      </c>
      <c r="B21" s="4" t="s">
        <v>166</v>
      </c>
      <c r="C21" s="4"/>
      <c r="D21" s="4"/>
      <c r="E21" s="4" t="s">
        <v>166</v>
      </c>
      <c r="F21" s="4"/>
      <c r="G21" s="4"/>
      <c r="H21" s="4"/>
    </row>
    <row r="22" customFormat="false" ht="15.75" hidden="false" customHeight="true" outlineLevel="0" collapsed="false">
      <c r="A22" s="13" t="s">
        <v>193</v>
      </c>
      <c r="B22" s="13" t="s">
        <v>166</v>
      </c>
      <c r="C22" s="13"/>
      <c r="D22" s="13"/>
      <c r="E22" s="13" t="s">
        <v>163</v>
      </c>
      <c r="F22" s="13" t="s">
        <v>194</v>
      </c>
      <c r="G22" s="13" t="s">
        <v>28</v>
      </c>
      <c r="H22" s="13" t="s">
        <v>195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52"/>
    <col collapsed="false" customWidth="true" hidden="false" outlineLevel="0" max="6" min="6" style="1" width="10"/>
  </cols>
  <sheetData>
    <row r="1" customFormat="false" ht="21.75" hidden="false" customHeight="true" outlineLevel="0" collapsed="false">
      <c r="A1" s="2" t="s">
        <v>196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197</v>
      </c>
      <c r="B2" s="3" t="s">
        <v>198</v>
      </c>
      <c r="C2" s="3" t="s">
        <v>199</v>
      </c>
      <c r="D2" s="3" t="s">
        <v>200</v>
      </c>
      <c r="E2" s="3" t="s">
        <v>201</v>
      </c>
      <c r="F2" s="3" t="s">
        <v>202</v>
      </c>
    </row>
    <row r="3" customFormat="false" ht="15.75" hidden="false" customHeight="true" outlineLevel="0" collapsed="false">
      <c r="A3" s="4" t="n">
        <v>1</v>
      </c>
      <c r="B3" s="4" t="s">
        <v>203</v>
      </c>
      <c r="C3" s="4" t="s">
        <v>140</v>
      </c>
      <c r="D3" s="4" t="s">
        <v>204</v>
      </c>
      <c r="E3" s="4" t="s">
        <v>205</v>
      </c>
      <c r="F3" s="14" t="s">
        <v>206</v>
      </c>
    </row>
    <row r="4" customFormat="false" ht="15.75" hidden="false" customHeight="true" outlineLevel="0" collapsed="false">
      <c r="A4" s="6" t="n">
        <v>2</v>
      </c>
      <c r="B4" s="6" t="s">
        <v>207</v>
      </c>
      <c r="C4" s="6" t="s">
        <v>140</v>
      </c>
      <c r="D4" s="6" t="s">
        <v>208</v>
      </c>
      <c r="E4" s="6" t="s">
        <v>209</v>
      </c>
      <c r="F4" s="14" t="s">
        <v>206</v>
      </c>
    </row>
    <row r="5" customFormat="false" ht="15.75" hidden="false" customHeight="true" outlineLevel="0" collapsed="false">
      <c r="A5" s="4" t="n">
        <v>3</v>
      </c>
      <c r="B5" s="4" t="s">
        <v>210</v>
      </c>
      <c r="C5" s="4" t="s">
        <v>139</v>
      </c>
      <c r="D5" s="4" t="s">
        <v>204</v>
      </c>
      <c r="E5" s="4" t="s">
        <v>211</v>
      </c>
      <c r="F5" s="15" t="s">
        <v>212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7" min="4" style="1" width="10"/>
    <col collapsed="false" customWidth="true" hidden="false" outlineLevel="0" max="8" min="8" style="1" width="12"/>
  </cols>
  <sheetData>
    <row r="1" customFormat="false" ht="21.75" hidden="false" customHeight="true" outlineLevel="0" collapsed="false">
      <c r="A1" s="2" t="s">
        <v>213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197</v>
      </c>
      <c r="B2" s="3" t="s">
        <v>136</v>
      </c>
      <c r="C2" s="3" t="s">
        <v>214</v>
      </c>
      <c r="D2" s="3" t="s">
        <v>215</v>
      </c>
      <c r="E2" s="3" t="s">
        <v>216</v>
      </c>
      <c r="F2" s="3" t="s">
        <v>217</v>
      </c>
      <c r="G2" s="3" t="s">
        <v>218</v>
      </c>
      <c r="H2" s="3" t="s">
        <v>219</v>
      </c>
    </row>
    <row r="3" customFormat="false" ht="15.75" hidden="false" customHeight="true" outlineLevel="0" collapsed="false">
      <c r="A3" s="4" t="n">
        <v>1</v>
      </c>
      <c r="B3" s="4" t="s">
        <v>220</v>
      </c>
      <c r="C3" s="4" t="s">
        <v>221</v>
      </c>
      <c r="D3" s="4" t="s">
        <v>222</v>
      </c>
      <c r="E3" s="4" t="s">
        <v>47</v>
      </c>
      <c r="F3" s="4" t="s">
        <v>47</v>
      </c>
      <c r="G3" s="4" t="s">
        <v>47</v>
      </c>
      <c r="H3" s="16" t="s">
        <v>223</v>
      </c>
    </row>
    <row r="4" customFormat="false" ht="15.75" hidden="false" customHeight="true" outlineLevel="0" collapsed="false">
      <c r="A4" s="6" t="n">
        <v>2</v>
      </c>
      <c r="B4" s="6" t="s">
        <v>224</v>
      </c>
      <c r="C4" s="6" t="s">
        <v>225</v>
      </c>
      <c r="D4" s="6" t="s">
        <v>222</v>
      </c>
      <c r="E4" s="6" t="s">
        <v>47</v>
      </c>
      <c r="F4" s="6" t="s">
        <v>47</v>
      </c>
      <c r="G4" s="6" t="s">
        <v>47</v>
      </c>
      <c r="H4" s="16" t="s">
        <v>223</v>
      </c>
    </row>
    <row r="5" customFormat="false" ht="15.75" hidden="false" customHeight="true" outlineLevel="0" collapsed="false">
      <c r="A5" s="4" t="n">
        <v>3</v>
      </c>
      <c r="B5" s="4" t="s">
        <v>226</v>
      </c>
      <c r="C5" s="4" t="s">
        <v>208</v>
      </c>
      <c r="D5" s="4" t="s">
        <v>222</v>
      </c>
      <c r="E5" s="4" t="s">
        <v>47</v>
      </c>
      <c r="F5" s="4" t="s">
        <v>47</v>
      </c>
      <c r="G5" s="4" t="s">
        <v>47</v>
      </c>
      <c r="H5" s="16" t="s">
        <v>223</v>
      </c>
    </row>
    <row r="6" customFormat="false" ht="15.75" hidden="false" customHeight="true" outlineLevel="0" collapsed="false">
      <c r="A6" s="6" t="n">
        <v>4</v>
      </c>
      <c r="B6" s="6" t="s">
        <v>227</v>
      </c>
      <c r="C6" s="6" t="s">
        <v>228</v>
      </c>
      <c r="D6" s="6" t="s">
        <v>222</v>
      </c>
      <c r="E6" s="6" t="s">
        <v>47</v>
      </c>
      <c r="F6" s="6" t="s">
        <v>47</v>
      </c>
      <c r="G6" s="6" t="s">
        <v>47</v>
      </c>
      <c r="H6" s="16" t="s">
        <v>223</v>
      </c>
    </row>
    <row r="7" customFormat="false" ht="15.75" hidden="false" customHeight="true" outlineLevel="0" collapsed="false">
      <c r="A7" s="4" t="n">
        <v>5</v>
      </c>
      <c r="B7" s="4" t="s">
        <v>229</v>
      </c>
      <c r="C7" s="4" t="s">
        <v>230</v>
      </c>
      <c r="D7" s="4" t="s">
        <v>222</v>
      </c>
      <c r="E7" s="4" t="s">
        <v>47</v>
      </c>
      <c r="F7" s="4" t="s">
        <v>47</v>
      </c>
      <c r="G7" s="4" t="s">
        <v>47</v>
      </c>
      <c r="H7" s="16" t="s">
        <v>223</v>
      </c>
    </row>
    <row r="8" customFormat="false" ht="15.75" hidden="false" customHeight="true" outlineLevel="0" collapsed="false">
      <c r="A8" s="6" t="n">
        <v>6</v>
      </c>
      <c r="B8" s="6" t="s">
        <v>231</v>
      </c>
      <c r="C8" s="6" t="s">
        <v>232</v>
      </c>
      <c r="D8" s="6" t="s">
        <v>222</v>
      </c>
      <c r="E8" s="6" t="s">
        <v>47</v>
      </c>
      <c r="F8" s="6" t="s">
        <v>47</v>
      </c>
      <c r="G8" s="6" t="s">
        <v>47</v>
      </c>
      <c r="H8" s="16" t="s">
        <v>223</v>
      </c>
    </row>
    <row r="9" customFormat="false" ht="15.75" hidden="false" customHeight="true" outlineLevel="0" collapsed="false">
      <c r="A9" s="4" t="n">
        <v>7</v>
      </c>
      <c r="B9" s="4" t="s">
        <v>233</v>
      </c>
      <c r="C9" s="4" t="s">
        <v>234</v>
      </c>
      <c r="D9" s="4" t="s">
        <v>222</v>
      </c>
      <c r="E9" s="4" t="s">
        <v>47</v>
      </c>
      <c r="F9" s="4" t="s">
        <v>47</v>
      </c>
      <c r="G9" s="4" t="s">
        <v>47</v>
      </c>
      <c r="H9" s="16" t="s">
        <v>223</v>
      </c>
    </row>
    <row r="10" customFormat="false" ht="15.75" hidden="false" customHeight="true" outlineLevel="0" collapsed="false">
      <c r="A10" s="6" t="n">
        <v>8</v>
      </c>
      <c r="B10" s="6" t="s">
        <v>235</v>
      </c>
      <c r="C10" s="6" t="s">
        <v>208</v>
      </c>
      <c r="D10" s="6" t="s">
        <v>222</v>
      </c>
      <c r="E10" s="6" t="s">
        <v>47</v>
      </c>
      <c r="F10" s="6" t="s">
        <v>47</v>
      </c>
      <c r="G10" s="6" t="s">
        <v>236</v>
      </c>
      <c r="H10" s="14" t="s">
        <v>237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0"/>
  </cols>
  <sheetData>
    <row r="1" customFormat="false" ht="21.75" hidden="false" customHeight="true" outlineLevel="0" collapsed="false">
      <c r="A1" s="2" t="s">
        <v>238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3" t="s">
        <v>2</v>
      </c>
    </row>
    <row r="3" customFormat="false" ht="15.75" hidden="false" customHeight="true" outlineLevel="0" collapsed="false">
      <c r="A3" s="4" t="s">
        <v>239</v>
      </c>
      <c r="B3" s="5" t="s">
        <v>240</v>
      </c>
    </row>
    <row r="4" customFormat="false" ht="15.75" hidden="false" customHeight="true" outlineLevel="0" collapsed="false">
      <c r="A4" s="6" t="s">
        <v>241</v>
      </c>
      <c r="B4" s="5" t="s">
        <v>242</v>
      </c>
    </row>
    <row r="5" customFormat="false" ht="15.75" hidden="false" customHeight="true" outlineLevel="0" collapsed="false">
      <c r="A5" s="4" t="s">
        <v>243</v>
      </c>
      <c r="B5" s="5" t="s">
        <v>244</v>
      </c>
    </row>
    <row r="6" customFormat="false" ht="15.75" hidden="false" customHeight="true" outlineLevel="0" collapsed="false">
      <c r="A6" s="6" t="s">
        <v>245</v>
      </c>
      <c r="B6" s="5" t="s">
        <v>246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7722"/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45"/>
  </cols>
  <sheetData>
    <row r="1" customFormat="false" ht="600" hidden="false" customHeight="true" outlineLevel="0" collapsed="false">
      <c r="A1" s="17" t="str">
        <f aca="false">"{"&amp;"
  ""_meta"": {"&amp;"
    ""description"": ""PE-286 Western Region SDCC Dashboard — data source"","&amp;"
    ""last_updated"": """&amp;Footer!B4&amp;""","&amp;"
    ""note"": ""SAR values are plain numbers. Percentages are plain strings. Power Automate: update field values only."""&amp;"
  },"&amp;"
  ""Header"": {"&amp;"
    ""project_code"": """&amp;Header!B4&amp;""","&amp;"
    ""region"": """&amp;Header!B5&amp;""","&amp;"
    ""project_manager"": """&amp;Header!B6&amp;""""&amp;"
  },"&amp;"
  ""General_Info"": ["&amp;"
    { ""field"": """&amp;General_Info!A3&amp;""", ""value"": """&amp;General_Info!B3&amp;"""},"&amp;"
    { ""field"": """&amp;General_Info!A4&amp;""", ""value"": """&amp;General_Info!B4&amp;"""},"&amp;"
    { ""field"": """&amp;General_Info!A5&amp;""", ""value"": """&amp;General_Info!B5&amp;"""},"&amp;"
    { ""field"": """&amp;General_Info!A6&amp;""", ""value"": """&amp;General_Info!B6&amp;"""},"&amp;"
    { ""field"": """&amp;General_Info!A7&amp;""", ""value"": """&amp;General_Info!B7&amp;"""},"&amp;"
    { ""field"": """&amp;General_Info!A8&amp;""", ""value"": """&amp;General_Info!B8&amp;"""},"&amp;"
    { ""field"": """&amp;General_Info!A9&amp;""", ""value"": """&amp;General_Info!B9&amp;"""}"&amp;"
  ],"&amp;"
  ""Commercial_Info"": ["&amp;"
    { ""field"": """&amp;Commercial_Info!A3&amp;""", ""value"": "&amp;TEXT(Commercial_Info!B3,"0")&amp;", ""tag"": """", ""tag_color"": """""&amp;"},"&amp;"
    { ""field"": """&amp;Commercial_Info!A4&amp;""", ""value"": "&amp;TEXT(Commercial_Info!B4,"0")&amp;", ""tag"": """", ""tag_color"": """""&amp;"},"&amp;"
    { ""field"": """&amp;Commercial_Info!A5&amp;""", ""value"": "&amp;TEXT(Commercial_Info!B5,"0")&amp;", ""tag"": """", ""tag_color"": """""&amp;"},"&amp;"
    { ""field"": """&amp;Commercial_Info!A6&amp;""", ""value"": "&amp;TEXT(Commercial_Info!B6,"0")&amp;", ""tag"": """", ""tag_color"": """""&amp;"},"&amp;"
    { ""field"": """&amp;Commercial_Info!A7&amp;""", ""value"": "&amp;TEXT(Commercial_Info!B7,"0")&amp;", ""tag"": """", ""tag_color"": """""&amp;"},"&amp;"
    { ""field"": """&amp;Commercial_Info!A8&amp;""", ""value"": "&amp;TEXT(Commercial_Info!B8,"0")&amp;", ""tag"": """", ""tag_color"": """""&amp;"},"&amp;"
    { ""field"": """&amp;Commercial_Info!A9&amp;""", ""value"": "&amp;TEXT(Commercial_Info!B9,"0")&amp;", ""tag"": """&amp;Commercial_Info!C9&amp;""", ""tag_color"": ""bd"""&amp;"}"&amp;"
  ],"&amp;"
  ""Budgetary_Info"": ["&amp;"
    { ""field"": """&amp;Budgetary_Info!A3&amp;""", ""value"": "&amp;TEXT(Budgetary_Info!B3,"0")&amp;", ""tag"": """""&amp;", ""value_color"": """" },"&amp;"
    { ""field"": """&amp;Budgetary_Info!A4&amp;""", ""value"": "&amp;""""&amp;Budgetary_Info!B4&amp;""""&amp;", ""tag"": """""&amp;", ""value_color"": """" },"&amp;"
    { ""field"": """&amp;Budgetary_Info!A5&amp;""", ""value"": "&amp;""""&amp;Budgetary_Info!B5&amp;""""&amp;", ""tag"": """&amp;Budgetary_Info!C5&amp;""""&amp;", ""value_color"": ""red"" },"&amp;"
    { ""field"": """&amp;Budgetary_Info!A6&amp;""", ""value"": "&amp;TEXT(Budgetary_Info!B6,"0")&amp;", ""tag"": """""&amp;", ""value_color"": """" },"&amp;"
    { ""field"": """&amp;Budgetary_Info!A7&amp;""", ""value"": "&amp;TEXT(Budgetary_Info!B7,"0")&amp;", ""tag"": """""&amp;", ""value_color"": """" },"&amp;"
    { ""field"": """&amp;Budgetary_Info!A8&amp;""", ""value"": "&amp;""""&amp;Budgetary_Info!B8&amp;""""&amp;", ""tag"": """""&amp;", ""value_color"": ""amber"" },"&amp;"
    { ""field"": """&amp;Budgetary_Info!A9&amp;""", ""value"": "&amp;""""&amp;Budgetary_Info!B9&amp;""""&amp;", ""tag"": """""&amp;", ""value_color"": ""red"" }"&amp;"
  ],"&amp;"
  ""Collection_Info"": ["&amp;"
    { ""field"": """&amp;Collection_Info!A3&amp;""", ""value"": "&amp;TEXT(Collection_Info!B3,"0")&amp;", ""tag"": """&amp;Collection_Info!C3&amp;""", ""color"": ""green"" },"&amp;"
    { ""field"": """&amp;Collection_Info!A4&amp;""", ""value"": "&amp;TEXT(Collection_Info!B4,"0")&amp;", ""tag"": """&amp;Collection_Info!C4&amp;""", ""color"": ""amber"" },"&amp;"
    { ""field"": """&amp;Collection_Info!A5&amp;""", ""value"": "&amp;TEXT(Collection_Info!B5,"0")&amp;", ""tag"": """&amp;Collection_Info!C5&amp;""", ""color"": ""amber"" },"&amp;"
    { ""field"": """&amp;Collection_Info!A6&amp;""", ""value"": "&amp;TEXT(Collection_Info!B6,"0")&amp;", ""tag"": """&amp;""", ""color"": """" },"&amp;"
    { ""field"": """&amp;Collection_Info!A7&amp;""", ""value"": "&amp;TEXT(Collection_Info!B7,"0")&amp;", ""tag"": """&amp;Collection_Info!C7&amp;""", ""color"": ""amber"" },"&amp;"
    { ""field"": """&amp;Collection_Info!A8&amp;""", ""value"": "&amp;""""&amp;Collection_Info!B8&amp;""""&amp;", ""tag"": """&amp;""", ""color"": """" },"&amp;"
    { ""field"": """&amp;Collection_Info!A9&amp;""", ""value"": "&amp;""""&amp;Collection_Info!B9&amp;""""&amp;", ""tag"": """&amp;""", ""color"": ""red"" }"&amp;"
  ],"&amp;"
  ""Cash_Flow"": {"&amp;"
    ""net_position"": "&amp;TEXT(Cash_Flow!B3,"0.0##")&amp;","&amp;"
    ""net_sublabel"": """&amp;Cash_Flow!B4&amp;""","&amp;"
    ""cash_in"":  { ""amount"": "&amp;TEXT(Cash_Flow!B5,"0.0##")&amp;", ""bar_width_pct"": "&amp;SUBSTITUTE(Cash_Flow!C5,"%","")&amp;" },"&amp;"
    ""cash_out"": { ""amount"": "&amp;TEXT(Cash_Flow!B6,"0.0##")&amp;", ""bar_width_pct"": "&amp;SUBSTITUTE(Cash_Flow!C6,"%","")&amp;" }"&amp;"
  },"&amp;"
  ""Manpower"": {"&amp;"
    ""total"":         "&amp;TEXT(Manpower!B4,"0")&amp;","&amp;"
    ""direct_labor"":  "&amp;TEXT(Manpower!B5,"0")&amp;","&amp;"
    ""indirect"":       "&amp;TEXT(Manpower!B6,"0")&amp;","&amp;"
    ""direct_share"":  """&amp;Manpower!B7&amp;""","&amp;"
    ""alf_count"":      "&amp;TEXT(Manpower!B11,"0")&amp;","&amp;"
    ""sc_count"":       "&amp;TEXT(Manpower!B12,"0")&amp;"
  },"&amp;"
  ""Project_Phases"": ["&amp;"
    { ""phase"": """&amp;Project_Phases!A3&amp;""", ""plan"": "&amp;TEXT(Project_Phases!B3,"0.0##")&amp;", ""actual"": "&amp;TEXT(Project_Phases!C3,"0.0##")&amp;", ""color"": """&amp;Project_Phases!E3&amp;""" },"&amp;"
    { ""phase"": """&amp;Project_Phases!A4&amp;""", ""plan"": "&amp;TEXT(Project_Phases!B4,"0.0##")&amp;", ""actual"": "&amp;TEXT(Project_Phases!C4,"0.0##")&amp;", ""color"": """&amp;Project_Phases!E4&amp;""" },"&amp;"
    { ""phase"": """&amp;Project_Phases!A5&amp;""", ""plan"": "&amp;TEXT(Project_Phases!B5,"0.0##")&amp;", ""actual"": "&amp;TEXT(Project_Phases!C5,"0.0##")&amp;", ""color"": """&amp;Project_Phases!E5&amp;""" },"&amp;"
    { ""phase"": """&amp;Project_Phases!A6&amp;""", ""plan"": "&amp;TEXT(Project_Phases!B6,"0.0##")&amp;", ""actual"": "&amp;TEXT(Project_Phases!C6,"0.0##")&amp;", ""color"": """&amp;Project_Phases!E6&amp;""" },"&amp;"
    { ""phase"": """&amp;Project_Phases!A7&amp;""", ""plan"": "&amp;TEXT(Project_Phases!B7,"0.0##")&amp;", ""actual"": "&amp;TEXT(Project_Phases!C7,"0.0##")&amp;", ""color"": """&amp;Project_Phases!E7&amp;""" },"&amp;"
    { ""phase"": """&amp;Project_Phases!A8&amp;""", ""plan"": "&amp;TEXT(Project_Phases!B8,"0.0##")&amp;", ""actual"": "&amp;TEXT(Project_Phases!C8,"0.0##")&amp;", ""color"": """&amp;Project_Phases!E8&amp;""" }"&amp;"
  ],"&amp;"
  ""City_Progress"": {"&amp;"
    ""cities"": ["&amp;"
      { ""city"": """&amp;City_Progress!A3&amp;""", ""plan"": "&amp;TEXT(City_Progress!B3,"0.0##")&amp;", ""actual"": "&amp;TEXT(City_Progress!C3,"0.0##")&amp;", ""color"": """&amp;City_Progress!E3&amp;""" },"&amp;"
      { ""city"": """&amp;City_Progress!A4&amp;""", ""plan"": "&amp;TEXT(City_Progress!B4,"0.0##")&amp;", ""actual"": "&amp;TEXT(City_Progress!C4,"0.0##")&amp;", ""color"": """&amp;City_Progress!E4&amp;""" },"&amp;"
      { ""city"": """&amp;City_Progress!A5&amp;""", ""plan"": "&amp;TEXT(City_Progress!B5,"0.0##")&amp;", ""actual"": "&amp;TEXT(City_Progress!C5,"0.0##")&amp;", ""color"": """&amp;City_Progress!E5&amp;""" },"&amp;"
      { ""city"": """&amp;City_Progress!A6&amp;""", ""plan"": "&amp;TEXT(City_Progress!B6,"0.0##")&amp;", ""actual"": "&amp;TEXT(City_Progress!C6,"0.0##")&amp;", ""color"": """&amp;City_Progress!E6&amp;""" },"&amp;"
      { ""city"": """&amp;City_Progress!A7&amp;""", ""plan"": "&amp;TEXT(City_Progress!B7,"0.0##")&amp;", ""actual"": "&amp;TEXT(City_Progress!C7,"0.0##")&amp;", ""color"": """&amp;City_Progress!E7&amp;""" }"&amp;"
    ],"&amp;"
    ""footer_note"": """&amp;City_Progress!B8&amp;""""&amp;"
  },"&amp;"
  ""Timeline"": ["&amp;"
    { ""month"": """&amp;Timeline!A3&amp;""", ""has_milestone"": "&amp;IF(UPPER(Timeline!B3)="YES","true","false")&amp;", ""milestone_text"": """&amp;IF(Timeline!C3="","",Timeline!C3)&amp;""", ""flag_position"": """&amp;IF(Timeline!D3="","",Timeline!D3)&amp;""", ""is_tcc"": "&amp;IF(UPPER(Timeline!E3)="YES","true","false")&amp;", ""tcc_label"": """&amp;IF(Timeline!F3="","",Timeline!F3)&amp;""", ""tcc_date"": """&amp;IF(Timeline!G3="","",Timeline!G3)&amp;""" },"&amp;"
    { ""month"": """&amp;Timeline!A4&amp;""", ""has_milestone"": "&amp;IF(UPPER(Timeline!B4)="YES","true","false")&amp;", ""milestone_text"": """&amp;IF(Timeline!C4="","",Timeline!C4)&amp;""", ""flag_position"": """&amp;IF(Timeline!D4="","",Timeline!D4)&amp;""", ""is_tcc"": "&amp;IF(UPPER(Timeline!E4)="YES","true","false")&amp;", ""tcc_label"": """&amp;IF(Timeline!F4="","",Timeline!F4)&amp;""", ""tcc_date"": """&amp;IF(Timeline!G4="","",Timeline!G4)&amp;""" },"&amp;"
    { ""month"": """&amp;Timeline!A5&amp;""", ""has_milestone"": "&amp;IF(UPPER(Timeline!B5)="YES","true","false")&amp;", ""milestone_text"": """&amp;IF(Timeline!C5="","",Timeline!C5)&amp;""", ""flag_position"": """&amp;IF(Timeline!D5="","",Timeline!D5)&amp;""", ""is_tcc"": "&amp;IF(UPPER(Timeline!E5)="YES","true","false")&amp;", ""tcc_label"": """&amp;IF(Timeline!F5="","",Timeline!F5)&amp;""", ""tcc_date"": """&amp;IF(Timeline!G5="","",Timeline!G5)&amp;""" },"&amp;"
    { ""month"": """&amp;Timeline!A6&amp;""", ""has_milestone"": "&amp;IF(UPPER(Timeline!B6)="YES","true","false")&amp;", ""milestone_text"": """&amp;IF(Timeline!C6="","",Timeline!C6)&amp;""", ""flag_position"": """&amp;IF(Timeline!D6="","",Timeline!D6)&amp;""", ""is_tcc"": "&amp;IF(UPPER(Timeline!E6)="YES","true","false")&amp;", ""tcc_label"": """&amp;IF(Timeline!F6="","",Timeline!F6)&amp;""", ""tcc_date"": """&amp;IF(Timeline!G6="","",Timeline!G6)&amp;""" },"&amp;"
    { ""month"": """&amp;Timeline!A7&amp;""", ""has_milestone"": "&amp;IF(UPPER(Timeline!B7)="YES","true","false")&amp;", ""milestone_text"": """&amp;IF(Timeline!C7="","",Timeline!C7)&amp;""", ""flag_position"": """&amp;IF(Timeline!D7="","",Timeline!D7)&amp;""", ""is_tcc"": "&amp;IF(UPPER(Timeline!E7)="YES","true","false")&amp;", ""tcc_label"": """&amp;IF(Timeline!F7="","",Timeline!F7)&amp;""", ""tcc_date"": """&amp;IF(Timeline!G7="","",Timeline!G7)&amp;""" },"&amp;"
    { ""month"": """&amp;Timeline!A8&amp;""", ""has_milestone"": "&amp;IF(UPPER(Timeline!B8)="YES","true","false")&amp;", ""milestone_text"": """&amp;IF(Timeline!C8="","",Timeline!C8)&amp;""", ""flag_position"": """&amp;IF(Timeline!D8="","",Timeline!D8)&amp;""", ""is_tcc"": "&amp;IF(UPPER(Timeline!E8)="YES","true","false")&amp;", ""tcc_label"": """&amp;IF(Timeline!F8="","",Timeline!F8)&amp;""", ""tcc_date"": """&amp;IF(Timeline!G8="","",Timeline!G8)&amp;""" },"&amp;"
    { ""month"": """&amp;Timeline!A9&amp;""", ""has_milestone"": "&amp;IF(UPPER(Timeline!B9)="YES","true","false")&amp;", ""milestone_text"": """&amp;IF(Timeline!C9="","",Timeline!C9)&amp;""", ""flag_position"": """&amp;IF(Timeline!D9="","",Timeline!D9)&amp;""", ""is_tcc"": "&amp;IF(UPPER(Timeline!E9)="YES","true","false")&amp;", ""tcc_label"": """&amp;IF(Timeline!F9="","",Timeline!F9)&amp;""", ""tcc_date"": """&amp;IF(Timeline!G9="","",Timeline!G9)&amp;""" },"&amp;"
    { ""month"": """&amp;Timeline!A10&amp;""", ""has_milestone"": "&amp;IF(UPPER(Timeline!B10)="YES","true","false")&amp;", ""milestone_text"": """&amp;IF(Timeline!C10="","",Timeline!C10)&amp;""", ""flag_position"": """&amp;IF(Timeline!D10="","",Timeline!D10)&amp;""", ""is_tcc"": "&amp;IF(UPPER(Timeline!E10)="YES","true","false")&amp;", ""tcc_label"": """&amp;IF(Timeline!F10="","",Timeline!F10)&amp;""", ""tcc_date"": """&amp;IF(Timeline!G10="","",Timeline!G10)&amp;""" },"&amp;"
    { ""month"": """&amp;Timeline!A11&amp;""", ""has_milestone"": "&amp;IF(UPPER(Timeline!B11)="YES","true","false")&amp;", ""milestone_text"": """&amp;IF(Timeline!C11="","",Timeline!C11)&amp;""", ""flag_position"": """&amp;IF(Timeline!D11="","",Timeline!D11)&amp;""", ""is_tcc"": "&amp;IF(UPPER(Timeline!E11)="YES","true","false")&amp;", ""tcc_label"": """&amp;IF(Timeline!F11="","",Timeline!F11)&amp;""", ""tcc_date"": """&amp;IF(Timeline!G11="","",Timeline!G11)&amp;""" },"&amp;"
    { ""month"": """&amp;Timeline!A12&amp;""", ""has_milestone"": "&amp;IF(UPPER(Timeline!B12)="YES","true","false")&amp;", ""milestone_text"": """&amp;IF(Timeline!C12="","",Timeline!C12)&amp;""", ""flag_position"": """&amp;IF(Timeline!D12="","",Timeline!D12)&amp;""", ""is_tcc"": "&amp;IF(UPPER(Timeline!E12)="YES","true","false")&amp;", ""tcc_label"": """&amp;IF(Timeline!F12="","",Timeline!F12)&amp;""", ""tcc_date"": """&amp;IF(Timeline!G12="","",Timeline!G12)&amp;""" },"&amp;"
    { ""month"": """&amp;Timeline!A13&amp;""", ""has_milestone"": "&amp;IF(UPPER(Timeline!B13)="YES","true","false")&amp;", ""milestone_text"": """&amp;IF(Timeline!C13="","",Timeline!C13)&amp;""", ""flag_position"": """&amp;IF(Timeline!D13="","",Timeline!D13)&amp;""", ""is_tcc"": "&amp;IF(UPPER(Timeline!E13)="YES","true","false")&amp;", ""tcc_label"": """&amp;IF(Timeline!F13="","",Timeline!F13)&amp;""", ""tcc_date"": """&amp;IF(Timeline!G13="","",Timeline!G13)&amp;""" },"&amp;"
    { ""month"": """&amp;Timeline!A14&amp;""", ""has_milestone"": "&amp;IF(UPPER(Timeline!B14)="YES","true","false")&amp;", ""milestone_text"": """&amp;IF(Timeline!C14="","",Timeline!C14)&amp;""", ""flag_position"": """&amp;IF(Timeline!D14="","",Timeline!D14)&amp;""", ""is_tcc"": "&amp;IF(UPPER(Timeline!E14)="YES","true","false")&amp;", ""tcc_label"": """&amp;IF(Timeline!F14="","",Timeline!F14)&amp;""", ""tcc_date"": """&amp;IF(Timeline!G14="","",Timeline!G14)&amp;""" },"&amp;"
    { ""month"": """&amp;Timeline!A15&amp;""", ""has_milestone"": "&amp;IF(UPPER(Timeline!B15)="YES","true","false")&amp;", ""milestone_text"": """&amp;IF(Timeline!C15="","",Timeline!C15)&amp;""", ""flag_position"": """&amp;IF(Timeline!D15="","",Timeline!D15)&amp;""", ""is_tcc"": "&amp;IF(UPPER(Timeline!E15)="YES","true","false")&amp;", ""tcc_label"": """&amp;IF(Timeline!F15="","",Timeline!F15)&amp;""", ""tcc_date"": """&amp;IF(Timeline!G15="","",Timeline!G15)&amp;""" },"&amp;"
    { ""month"": """&amp;Timeline!A16&amp;""", ""has_milestone"": "&amp;IF(UPPER(Timeline!B16)="YES","true","false")&amp;", ""milestone_text"": """&amp;IF(Timeline!C16="","",Timeline!C16)&amp;""", ""flag_position"": """&amp;IF(Timeline!D16="","",Timeline!D16)&amp;""", ""is_tcc"": "&amp;IF(UPPER(Timeline!E16)="YES","true","false")&amp;", ""tcc_label"": """&amp;IF(Timeline!F16="","",Timeline!F16)&amp;""", ""tcc_date"": """&amp;IF(Timeline!G16="","",Timeline!G16)&amp;""" },"&amp;"
    { ""month"": """&amp;Timeline!A17&amp;""", ""has_milestone"": "&amp;IF(UPPER(Timeline!B17)="YES","true","false")&amp;", ""milestone_text"": """&amp;IF(Timeline!C17="","",Timeline!C17)&amp;""", ""flag_position"": """&amp;IF(Timeline!D17="","",Timeline!D17)&amp;""", ""is_tcc"": "&amp;IF(UPPER(Timeline!E17)="YES","true","false")&amp;", ""tcc_label"": """&amp;IF(Timeline!F17="","",Timeline!F17)&amp;""", ""tcc_date"": """&amp;IF(Timeline!G17="","",Timeline!G17)&amp;""" },"&amp;"
    { ""month"": """&amp;Timeline!A18&amp;""", ""has_milestone"": "&amp;IF(UPPER(Timeline!B18)="YES","true","false")&amp;", ""milestone_text"": """&amp;IF(Timeline!C18="","",Timeline!C18)&amp;""", ""flag_position"": """&amp;IF(Timeline!D18="","",Timeline!D18)&amp;""", ""is_tcc"": "&amp;IF(UPPER(Timeline!E18)="YES","true","false")&amp;", ""tcc_label"": """&amp;IF(Timeline!F18="","",Timeline!F18)&amp;""", ""tcc_date"": """&amp;IF(Timeline!G18="","",Timeline!G18)&amp;""" },"&amp;"
    { ""month"": """&amp;Timeline!A19&amp;""", ""has_milestone"": "&amp;IF(UPPER(Timeline!B19)="YES","true","false")&amp;", ""milestone_text"": """&amp;IF(Timeline!C19="","",Timeline!C19)&amp;""", ""flag_position"": """&amp;IF(Timeline!D19="","",Timeline!D19)&amp;""", ""is_tcc"": "&amp;IF(UPPER(Timeline!E19)="YES","true","false")&amp;", ""tcc_label"": """&amp;IF(Timeline!F19="","",Timeline!F19)&amp;""", ""tcc_date"": """&amp;IF(Timeline!G19="","",Timeline!G19)&amp;""" },"&amp;"
    { ""month"": """&amp;Timeline!A20&amp;""", ""has_milestone"": "&amp;IF(UPPER(Timeline!B20)="YES","true","false")&amp;", ""milestone_text"": """&amp;IF(Timeline!C20="","",Timeline!C20)&amp;""", ""flag_position"": """&amp;IF(Timeline!D20="","",Timeline!D20)&amp;""", ""is_tcc"": "&amp;IF(UPPER(Timeline!E20)="YES","true","false")&amp;", ""tcc_label"": """&amp;IF(Timeline!F20="","",Timeline!F20)&amp;""", ""tcc_date"": """&amp;IF(Timeline!G20="","",Timeline!G20)&amp;""" },"&amp;"
    { ""month"": """&amp;Timeline!A21&amp;""", ""has_milestone"": "&amp;IF(UPPER(Timeline!B21)="YES","true","false")&amp;", ""milestone_text"": """&amp;IF(Timeline!C21="","",Timeline!C21)&amp;""", ""flag_position"": """&amp;IF(Timeline!D21="","",Timeline!D21)&amp;""", ""is_tcc"": "&amp;IF(UPPER(Timeline!E21)="YES","true","false")&amp;", ""tcc_label"": """&amp;IF(Timeline!F21="","",Timeline!F21)&amp;""", ""tcc_date"": """&amp;IF(Timeline!G21="","",Timeline!G21)&amp;""" },"&amp;"
    { ""month"": """&amp;Timeline!A22&amp;""", ""has_milestone"": "&amp;IF(UPPER(Timeline!B22)="YES","true","false")&amp;", ""milestone_text"": """&amp;IF(Timeline!C22="","",Timeline!C22)&amp;""", ""flag_position"": """&amp;IF(Timeline!D22="","",Timeline!D22)&amp;""", ""is_tcc"": "&amp;IF(UPPER(Timeline!E22)="YES","true","false")&amp;", ""tcc_label"": """&amp;IF(Timeline!F22="","",Timeline!F22)&amp;""", ""tcc_date"": """&amp;IF(Timeline!G22="","",Timeline!G22)&amp;""" }"&amp;"
  ],"&amp;"
  ""Major_Issues"": ["&amp;"
    {"&amp;"
      ""num"": "&amp;TEXT(Major_Issues!A3,"0")&amp;","&amp;"
      ""issue"": """&amp;Major_Issues!B3&amp;""","&amp;"
      ""trade"": """&amp;Major_Issues!C3&amp;""","&amp;"
      ""entity"": """&amp;Major_Issues!D3&amp;""","&amp;"
      ""required_action"": """&amp;Major_Issues!E3&amp;""","&amp;"
      ""priority"": """&amp;Major_Issues!F3&amp;""""&amp;"
    },"&amp;"
    {"&amp;"
      ""num"": "&amp;TEXT(Major_Issues!A4,"0")&amp;","&amp;"
      ""issue"": """&amp;Major_Issues!B4&amp;""","&amp;"
      ""trade"": """&amp;Major_Issues!C4&amp;""","&amp;"
      ""entity"": """&amp;Major_Issues!D4&amp;""","&amp;"
      ""required_action"": """&amp;Major_Issues!E4&amp;""","&amp;"
      ""priority"": """&amp;Major_Issues!F4&amp;""""&amp;"
    },"&amp;"
    {"&amp;"
      ""num"": "&amp;TEXT(Major_Issues!A5,"0")&amp;","&amp;"
      ""issue"": """&amp;Major_Issues!B5&amp;""","&amp;"
      ""trade"": """&amp;Major_Issues!C5&amp;""","&amp;"
      ""entity"": """&amp;Major_Issues!D5&amp;""","&amp;"
      ""required_action"": """&amp;Major_Issues!E5&amp;""","&amp;"
      ""priority"": """&amp;Major_Issues!F5&amp;""""&amp;"
    }"&amp;"
  ],"&amp;"
  ""Equipment_Status"": ["&amp;"
    { ""num"": "&amp;TEXT(Equipment_Status!A3,"0")&amp;", ""equipment"": """&amp;Equipment_Status!B3&amp;""", ""vendor"": """&amp;Equipment_Status!C3&amp;""", ""po"": """&amp;Equipment_Status!D3&amp;""", ""gafm"": """&amp;Equipment_Status!E3&amp;""", ""fat"": """&amp;Equipment_Status!F3&amp;""", ""delivery"": """&amp;Equipment_Status!G3&amp;""", ""status"": """&amp;Equipment_Status!H3&amp;""" },"&amp;"
    { ""num"": "&amp;TEXT(Equipment_Status!A4,"0")&amp;", ""equipment"": """&amp;Equipment_Status!B4&amp;""", ""vendor"": """&amp;Equipment_Status!C4&amp;""", ""po"": """&amp;Equipment_Status!D4&amp;""", ""gafm"": """&amp;Equipment_Status!E4&amp;""", ""fat"": """&amp;Equipment_Status!F4&amp;""", ""delivery"": """&amp;Equipment_Status!G4&amp;""", ""status"": """&amp;Equipment_Status!H4&amp;""" },"&amp;"
    { ""num"": "&amp;TEXT(Equipment_Status!A5,"0")&amp;", ""equipment"": """&amp;Equipment_Status!B5&amp;""", ""vendor"": """&amp;Equipment_Status!C5&amp;""", ""po"": """&amp;Equipment_Status!D5&amp;""", ""gafm"": """&amp;Equipment_Status!E5&amp;""", ""fat"": """&amp;Equipment_Status!F5&amp;""", ""delivery"": """&amp;Equipment_Status!G5&amp;""", ""status"": """&amp;Equipment_Status!H5&amp;""" },"&amp;"
    { ""num"": "&amp;TEXT(Equipment_Status!A6,"0")&amp;", ""equipment"": """&amp;Equipment_Status!B6&amp;""", ""vendor"": """&amp;Equipment_Status!C6&amp;""", ""po"": """&amp;Equipment_Status!D6&amp;""", ""gafm"": """&amp;Equipment_Status!E6&amp;""", ""fat"": """&amp;Equipment_Status!F6&amp;""", ""delivery"": """&amp;Equipment_Status!G6&amp;""", ""status"": """&amp;Equipment_Status!H6&amp;""" },"&amp;"
    { ""num"": "&amp;TEXT(Equipment_Status!A7,"0")&amp;", ""equipment"": """&amp;Equipment_Status!B7&amp;""", ""vendor"": """&amp;Equipment_Status!C7&amp;""", ""po"": """&amp;Equipment_Status!D7&amp;""", ""gafm"": """&amp;Equipment_Status!E7&amp;""", ""fat"": """&amp;Equipment_Status!F7&amp;""", ""delivery"": """&amp;Equipment_Status!G7&amp;""", ""status"": """&amp;Equipment_Status!H7&amp;""" },"&amp;"
    { ""num"": "&amp;TEXT(Equipment_Status!A8,"0")&amp;", ""equipment"": """&amp;Equipment_Status!B8&amp;""", ""vendor"": """&amp;Equipment_Status!C8&amp;""", ""po"": """&amp;Equipment_Status!D8&amp;""", ""gafm"": """&amp;Equipment_Status!E8&amp;""", ""fat"": """&amp;Equipment_Status!F8&amp;""", ""delivery"": """&amp;Equipment_Status!G8&amp;""", ""status"": """&amp;Equipment_Status!H8&amp;""" },"&amp;"
    { ""num"": "&amp;TEXT(Equipment_Status!A9,"0")&amp;", ""equipment"": """&amp;Equipment_Status!B9&amp;""", ""vendor"": """&amp;Equipment_Status!C9&amp;""", ""po"": """&amp;Equipment_Status!D9&amp;""", ""gafm"": """&amp;Equipment_Status!E9&amp;""", ""fat"": """&amp;Equipment_Status!F9&amp;""", ""delivery"": """&amp;Equipment_Status!G9&amp;""", ""status"": """&amp;Equipment_Status!H9&amp;""" },"&amp;"
    { ""num"": "&amp;TEXT(Equipment_Status!A10,"0")&amp;", ""equipment"": """&amp;Equipment_Status!B10&amp;""", ""vendor"": """&amp;Equipment_Status!C10&amp;""", ""po"": """&amp;Equipment_Status!D10&amp;""", ""gafm"": """&amp;Equipment_Status!E10&amp;""", ""fat"": """&amp;Equipment_Status!F10&amp;""", ""delivery"": """&amp;Equipment_Status!G10&amp;""", ""status"": """&amp;Equipment_Status!H10&amp;""" }"&amp;"
  ],"&amp;"
  ""Footer"": {"&amp;"
    ""classification"": """&amp;Footer!B3&amp;""","&amp;"
    ""prepared_date"":  """&amp;Footer!B4&amp;""","&amp;"
    ""department"":     """&amp;Footer!B5&amp;""","&amp;"
    ""brand"":          """&amp;Footer!B6&amp;""""&amp;"
  }"&amp;"
}"</f>
        <v>{
  "_meta": {
    "description": "PE-286 Western Region SDCC Dashboard — data source",
    "last_updated": "18 Apr 2026",
    "note": "SAR values are plain numbers. Percentages are plain strings. Power Automate: update field values only."
  },
  "Header": {
    "project_code": "PE-286",
    "region": "Western Region",
    "project_manager": "Hany Kamal"
  },
  "General_Info": [
    { "field": "Contract Sign Date", "value": "24-Jul-24"},
    { "field": "Madinah Handover", "value": "26-Aug-24"},
    { "field": "Abha Handover", "value": "06-Oct-24"},
    { "field": "Jizan Handover", "value": "02-Mar-25"},
    { "field": "Jeddah / Makkah HO", "value": "22-Jun-25"},
    { "field": "Contractual TCC", "value": "24-Jul-26"},
    { "field": "Expected TCC", "value": "15-Oct-26"}
  ],
  "Commercial_Info": [
    { "field": "Org. Contract Value", "value": 388016486, "tag": "", "tag_color": ""},
    { "field": "Cont. Adv. Payment", "value": 0, "tag": "", "tag_color": ""},
    { "field": "Change Orders", "value": 0, "tag": "", "tag_color": ""},
    { "field": "Sub. Cost Claim", "value": 0, "tag": "", "tag_color": ""},
    { "field": "Expected Cont. Value", "value": 388016486, "tag": "", "tag_color": ""},
    { "field": "Org. Contingency", "value": 34426811, "tag": "", "tag_color": ""},
    { "field": "Rem. Contingency", "value": 15596872, "tag": "45%", "tag_color": "bd"}
  ],
  "Budgetary_Info": [
    { "field": "Rev. Budget Amount", "value": 355587125, "tag": "", "value_color": "" },
    { "field": "Target POC 2026", "value": "100%", "tag": "", "value_color": "" },
    { "field": "Actual POC Till Date", "value": "40.9%", "tag": "-59.1", "value_color": "red" },
    { "field": "Org. Contingency", "value": 34426811, "tag": "", "value_color": "" },
    { "field": "Rem. Contingency", "value": 15596872, "tag": "", "value_color": "" },
    { "field": "Contingency Used", "value": "~55%", "tag": "", "value_color": "amber" },
    { "field": "EOT Status", "value": "Not Submitted", "tag": "", "value_color": "red" }
  ],
  "Collection_Info": [
    { "field": "Invoiceable Amount", "value": 204059236, "tag": "53%", "color": "green" },
    { "field": "Submitted Invoices", "value": 152961744, "tag": "39%", "color": "amber" },
    { "field": "Approved Invoices", "value": 152961744, "tag": "39%", "color": "amber" },
    { "field": "Collected Adv.", "value": 0, "tag": "", "color": "" },
    { "field": "Col. Amount Inc Adv", "value": 68039022, "tag": "18%", "color": "amber" },
    { "field": "Billing vs POC", "value": "39% / 40.9%", "tag": "", "color": "" },
    { "field": "Cash Collected Gap", "value": "21 pts behind", "tag": "", "color": "red" }
  ],
  "Cash_Flow": {
    "net_position": -61.1,
    "net_sublabel": "Outflow exceeds inflow · negative position",
    "cash_in":  { "amount": 68.0, "bar_width_pct": 52.6 },
    "cash_out": { "amount": 129.2, "bar_width_pct": 100 }
  },
  "Manpower": {
    "total":         147,
    "direct_labor":  117,
    "indirect":       30,
    "direct_share":  "80%",
    "alf_count":      42,
    "sc_count":       75
  },
  "Project_Phases": [
    { "phase": "Overall", "plan": 89.8, "actual": 81.0, "color": "warn" },
    { "phase": "Engineering", "plan": 100.0, "actual": 99.1, "color": "good" },
    { "phase": "Equipment", "plan": 99.9, "actual": 94.0, "color": "mild" },
    { "phase": "Construction", "plan": 93.7, "actual": 85.3, "color": "warn" },
    { "phase": "Installation", "plan": 97.1, "actual": 89.6, "color": "mild" },
    { "phase": "Testing &amp; Commissioning", "plan": 49.0, "actual": 14.2, "color": "warn" }
  ],
  "City_Progress": {
    "cities": [
      { "city": "Madinah", "plan": 89.6, "actual": 80.8, "color": "warn" },
      { "city": "Abha", "plan": 88.8, "actual": 80.8, "color": "mild" },
      { "city": "Jizan", "plan": 87.0, "actual": 76.8, "color": "warn" },
      { "city": "Jeddah", "plan": 95.0, "actual": 83.6, "color": "warn" },
      { "city": "Makkah", "plan": 95.1, "actual": 90.0, "color": "mild" }
    ],
    "footer_note": "Jizan trails the plan most; Makkah leads on actual completion."
  },
  "Timeline": [
    { "month": "Nov-24", "has_milestone": true, "milestone_text": "Project Start", "flag_position": "above", "is_tcc": false, "tcc_label": "", "tcc_date": "" },
    { "month": "Dec-24", "has_milestone": false, "milestone_text": "", "flag_position": "", "is_tcc": false, "tcc_label": "", "tcc_date": "" },
    { "month": "Jan-25", "has_milestone": false, "milestone_text": "", "flag_position": "", "is_tcc": false, "tcc_label": "", "tcc_date": "" },
    { "month": "Feb-25", "has_milestone": false, "milestone_text": "", "flag_position": "", "is_tcc": false, "tcc_label": "", "tcc_date": "" },
    { "month": "Mar-25", "has_milestone": true, "milestone_text": "MADINAH P.C.", "flag_position": "above", "is_tcc": false, "tcc_label": "", "tcc_date": "" },
    { "month": "Apr-25", "has_milestone": true, "milestone_text": "ABHA P.C.", "flag_position": "below", "is_tcc": false, "tcc_label": "", "tcc_date": "" },
    { "month": "May-25", "has_milestone": false, "milestone_text": "", "flag_position": "", "is_tcc": false, "tcc_label": "", "tcc_date": "" },
    { "month": "Jun-25", "has_milestone": true, "milestone_text": "JIZAN P.C.", "flag_position": "above", "is_tcc": false, "tcc_label": "", "tcc_date": "" },
    { "month": "Jul-25", "has_milestone": false, "milestone_text": "", "flag_position": "", "is_tcc": false, "tcc_label": "", "tcc_date": "" },
    { "month": "Aug-25", "has_milestone": false, "milestone_text": "", "flag_position": "", "is_tcc": false, "tcc_label": "", "tcc_date": "" },
    { "month": "Sep-25", "has_milestone": false, "milestone_text": "", "flag_position": "", "is_tcc": false, "tcc_label": "", "tcc_date": "" },
    { "month": "Oct-25", "has_milestone": false, "milestone_text": "", "flag_position": "", "is_tcc": false, "tcc_label": "", "tcc_date": "" },
    { "month": "Nov-25", "has_milestone": true, "milestone_text": "Stringing Start", "flag_position": "above", "is_tcc": false, "tcc_label": "", "tcc_date": "" },
    { "month": "Dec-25", "has_milestone": false, "milestone_text": "", "flag_position": "", "is_tcc": false, "tcc_label": "", "tcc_date": "" },
    { "month": "Jan-26", "has_milestone": false, "milestone_text": "", "flag_position": "", "is_tcc": false, "tcc_label": "", "tcc_date": "" },
    { "month": "Feb-26", "has_milestone": false, "milestone_text": "", "flag_position": "", "is_tcc": false, "tcc_label": "", "tcc_date": "" },
    { "month": "Mar-26", "has_milestone": false, "milestone_text": "", "flag_position": "", "is_tcc": false, "tcc_label": "", "tcc_date": "" },
    { "month": "Apr-26", "has_milestone": false, "milestone_text": "", "flag_position": "", "is_tcc": true, "tcc_label": "Contractual TCC", "tcc_date": "24-Jul-26" },
    { "month": "May-26", "has_milestone": false, "milestone_text": "", "flag_position": "", "is_tcc": false, "tcc_label": "", "tcc_date": "" },
    { "month": "Jun-26", "has_milestone": false, "milestone_text": "", "flag_position": "", "is_tcc": true, "tcc_label": "Revised TCC", "tcc_date": "15-Oct-26" }
  ],
  "Major_Issues": [
    {
      "num": 1,
      "issue": "Shortage of tower materials by SEC (02 No's)",
      "trade": "Installation",
      "entity": "SEC",
      "required_action": "Escalated to SEC-PDC; shortage list shared to push supplier. Continuous follow-up to expedite delivery.",
      "priority": "HIGH"
    },
    {
      "num": 2,
      "issue": "Delay in delivery of special towers by Alfanar",
      "trade": "Installation",
      "entity": "Energiya",
      "required_action": "12 of 14 towers received; remaining 2 (UDE-II) in progress. Continuous follow-up with supplier.",
      "priority": "HIGH"
    },
    {
      "num": 3,
      "issue": "Delay in UGC works near TADCO S/S",
      "trade": "Construction",
      "entity": "SEC",
      "required_action": "SEC advised to start excavation from 26-Apr-26. Continuous follow-up to avoid further delay.",
      "priority": "MEDIUM"
    }
  ],
  "Equipment_Status": [
    { "num": 1, "equipment": "Insulator", "vendor": "Zape", "po": "Issued", "gafm": "100%", "fat": "100%", "delivery": "100%", "status": "OK" },
    { "num": 2, "equipment": "Cable termination", "vendor": "PFISTER", "po": "Issued", "gafm": "100%", "fat": "100%", "delivery": "100%", "status": "OK" },
    { "num": 3, "equipment": "Lattice Steel Gantry", "vendor": "Energiya", "po": "Issued", "gafm": "100%", "fat": "100%", "delivery": "100%", "status": "OK" },
    { "num": 4, "equipment": "Line hardware", "vendor": "Dalekovod", "po": "Issued", "gafm": "100%", "fat": "100%", "delivery": "100%", "status": "OK" },
    { "num": 5, "equipment": "Dampers", "vendor": "PTE", "po": "Issued", "gafm": "100%", "fat": "100%", "delivery": "100%", "status": "OK" },
    { "num": 6, "equipment": "Power Cables", "vendor": "Bahara", "po": "Issued", "gafm": "100%", "fat": "100%", "delivery": "100%", "status": "OK" },
    { "num": 7, "equipment": "Surge Arrester", "vendor": "Tridelta", "po": "Issued", "gafm": "100%", "fat": "100%", "delivery": "100%", "status": "OK" },
    { "num": 8, "equipment": "Lattice Steel Tower", "vendor": "Energiya", "po": "Issued", "gafm": "100%", "fat": "100%", "delivery": "98%", "status": "DELAYED" }
  ],
  "Footer": {
    "classification": "Public",
    "prepared_date":  "18 Apr 2026",
    "department":     "alfanar OHTL Projects",
    "brand":          "alfanar"
  }
}</v>
      </c>
      <c r="B1" s="1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2026-06-05T19:34:15Z</dcterms:created>
  <dc:creator>openpyxl</dc:creator>
  <dc:description/>
  <dc:language>en-US</dc:language>
  <cp:lastModifiedBy/>
  <dcterms:modified xsi:type="dcterms:W3CDTF">2026-06-06T07:31:42Z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