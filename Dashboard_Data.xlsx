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49" documentId="8_{08402470-AB39-479E-9F56-A762705072E3}" xr6:coauthVersionLast="47" xr6:coauthVersionMax="47" xr10:uidLastSave="{76A02C64-34C4-46A9-A1A7-154C55A78CFF}"/>
  <bookViews>
    <workbookView xWindow="-120" yWindow="-120" windowWidth="29040" windowHeight="15720" tabRatio="500" firstSheet="1" activeTab="4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6" l="1"/>
  <c r="C5" i="6"/>
  <c r="B4" i="7"/>
  <c r="B7" i="7" s="1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<sst xmlns="http://schemas.openxmlformats.org/spreadsheetml/2006/main" count="392" uniqueCount="234">
  <si>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</si>
  <si>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</si>
  <si>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</si>
  <si>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</si>
  <si>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</si>
  <si>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</si>
  <si>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</si>
  <si>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</si>
  <si>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</si>
  <si>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</si>
  <si>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</si>
  <si>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</si>
  <si>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</si>
  <si>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</si>
  <si>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</si>
  <si>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</si>
  <si>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</si>
  <si>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</si>
  <si>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</si>
  <si>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</si>
  <si>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</si>
  <si>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</si>
  <si>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</si>
  <si>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</si>
  <si>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</si>
  <si>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</si>
  <si>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</si>
  <si>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</si>
  <si>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</si>
  <si>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</si>
  <si>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</si>
  <si>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</si>
  <si>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</si>
  <si>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</si>
  <si>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</si>
  <si>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</si>
  <si>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</si>
  <si>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</si>
  <si>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</si>
  <si>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</si>
  <si>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</si>
  <si>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</si>
  <si>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</si>
  <si>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</si>
  <si>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</si>
  <si>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</si>
  <si>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</si>
  <si>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</si>
  <si>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</si>
  <si>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</si>
  <si>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</si>
  <si>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</si>
  <si>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</si>
  <si>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</si>
  <si>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</si>
  <si>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</si>
  <si>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</si>
  <si>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</si>
  <si>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</si>
  <si>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</si>
  <si>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</si>
  <si>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</si>
  <si>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</si>
  <si>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</si>
  <si>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</si>
  <si>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</si>
  <si>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</si>
  <si>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</si>
  <si>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</si>
  <si>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</si>
  <si>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</si>
  <si>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</si>
  <si>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</si>
  <si>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</si>
  <si>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</si>
  <si>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</si>
  <si>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</si>
  <si>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</si>
  <si>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</si>
  <si>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</si>
  <si>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</si>
  <si>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</si>
  <si>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</si>
  <si>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</si>
  <si>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</si>
  <si>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</si>
  <si>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</si>
  <si>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</si>
  <si>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</si>
  <si>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</si>
  <si>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</si>
  <si>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</si>
  <si>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</si>
  <si>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</si>
  <si>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</si>
  <si>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</si>
  <si>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</si>
  <si>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</si>
  <si>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</si>
  <si>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</si>
  <si>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</si>
  <si>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</si>
  <si>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</si>
  <si>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</si>
  <si>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</si>
  <si>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</si>
  <si>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</si>
  <si>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</si>
  <si>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</si>
  <si>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</si>
  <si>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</si>
  <si>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</si>
  <si>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</si>
  <si>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</si>
  <si>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</si>
  <si>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</si>
  <si>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</si>
  <si>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</si>
  <si>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</si>
  <si>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</si>
  <si>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</si>
  <si>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</si>
  <si>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</si>
  <si>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</si>
  <si>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</si>
  <si>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</si>
  <si>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</si>
  <si>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</si>
  <si>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</si>
  <si>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</si>
  <si>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</si>
  <si>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</si>
  <si>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</si>
  <si>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</si>
  <si>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</si>
  <si>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</si>
  <si>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</si>
  <si>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</si>
  <si>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</si>
  <si>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</si>
  <si>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</si>
  <si>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</si>
  <si>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</si>
  <si>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</si>
  <si>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</si>
  <si>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</si>
  <si>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</si>
  <si>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</si>
  <si>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</si>
  <si>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</si>
  <si>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</si>
  <si>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</si>
  <si>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</si>
  <si>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</si>
  <si>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</si>
  <si>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</si>
  <si>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</si>
  <si>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</si>
  <si>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</si>
  <si>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</si>
  <si>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</si>
  <si>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</si>
  <si>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</si>
  <si>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</si>
  <si>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</si>
  <si>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</si>
  <si>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</si>
  <si>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</si>
  <si>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</si>
  <si>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</si>
  <si>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</si>
  <si>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</si>
  <si>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</si>
  <si>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</si>
  <si>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</si>
  <si>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</si>
  <si>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</si>
  <si>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</si>
  <si>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Delay in Telecom Rediness due to T&amp;C Delay from TNDT</t>
  </si>
  <si>
    <t>T&amp;C</t>
  </si>
  <si>
    <t xml:space="preserve">SE to push TNDT to proceed in T&amp;C </t>
  </si>
  <si>
    <t>Delay in BMS Delivery</t>
  </si>
  <si>
    <t>SETRA</t>
  </si>
  <si>
    <t>Push SETRA to give a Confirmation date for Delivery and Installation Plan</t>
  </si>
  <si>
    <t>medium</t>
  </si>
  <si>
    <t xml:space="preserve">Delay in Validation of SLD </t>
  </si>
  <si>
    <t>CET/SE</t>
  </si>
  <si>
    <t xml:space="preserve">CET &amp; SE to Expedite Validation of SLD </t>
  </si>
  <si>
    <t>Delay in DERMS software Installation</t>
  </si>
  <si>
    <t>CET to mobilize Derms team ASAP</t>
  </si>
  <si>
    <t>Low</t>
  </si>
  <si>
    <t>Delay in starting Migration Activities</t>
  </si>
  <si>
    <t>CET to start Activities of Migration Activity</t>
  </si>
  <si>
    <t>Delay in Start Training</t>
  </si>
  <si>
    <t>Alfanar / CET</t>
  </si>
  <si>
    <t>Alfanar to Expedite Training room rediness
CET to Expedite Avaialbility of Instructor Team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</si>
  <si>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</si>
  <si>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</si>
  <si>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</si>
  <si>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</si>
  <si>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</si>
  <si>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</si>
  <si>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</si>
  <si>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</si>
  <si>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</si>
  <si>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</si>
  <si>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Delayed</t>
  </si>
  <si>
    <t>CRAC / PACU Units</t>
  </si>
  <si>
    <t>Zamil</t>
  </si>
  <si>
    <t>OK</t>
  </si>
  <si>
    <t>FM-200 Cylinders</t>
  </si>
  <si>
    <t>DDC Panels</t>
  </si>
  <si>
    <t>Marine</t>
  </si>
  <si>
    <t>Fire Alarm</t>
  </si>
  <si>
    <t>AC/DC Panels</t>
  </si>
  <si>
    <t>AES</t>
  </si>
  <si>
    <t>48 VDC System</t>
  </si>
  <si>
    <t>LAN/WAN</t>
  </si>
  <si>
    <t>DWDM</t>
  </si>
  <si>
    <t>Fire Pumps</t>
  </si>
  <si>
    <t>Security System</t>
  </si>
  <si>
    <t>ITC</t>
  </si>
  <si>
    <t>N/A</t>
  </si>
  <si>
    <t xml:space="preserve">Low Current </t>
  </si>
  <si>
    <t>Degital Era</t>
  </si>
  <si>
    <t>BMS Systems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</si>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</sst>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43" fontId="0" fillId="0" borderId="0" xfId="0" applyNumberFormat="1"/>
    <xf numFmtId="43" fontId="3" fillId="5" borderId="1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9" fontId="3" fillId="4" borderId="2" xfId="2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9" fontId="3" fillId="6" borderId="2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9" fontId="3" fillId="4" borderId="1" xfId="2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/>
  <cols>
    <col min="1" max="1" width="30" customWidth="1"/>
    <col min="2" max="2" width="40" customWidth="1"/>
  </cols>
  <sheetData>
    <row r="1" spans="1:8" ht="21.75" customHeight="1">
      <c r="A1" s="43" t="s">
        <v>0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2</v>
      </c>
    </row>
    <row r="3" spans="1:8" ht="25.5">
      <c r="A3" s="2" t="s">
        <v>3</v>
      </c>
      <c r="B3" s="3" t="s">
        <v>4</v>
      </c>
    </row>
    <row r="4" spans="1:8">
      <c r="A4" s="4" t="s">
        <v>5</v>
      </c>
      <c r="B4" s="3" t="s">
        <v>6</v>
      </c>
    </row>
    <row r="5" spans="1:8">
      <c r="A5" s="2" t="s">
        <v>7</v>
      </c>
      <c r="B5" s="3" t="s">
        <v>8</v>
      </c>
    </row>
    <row r="6" spans="1:8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/>
  <cols>
    <col min="1" max="1" width="32" customWidth="1"/>
    <col min="2" max="2" width="18" customWidth="1"/>
    <col min="3" max="3" width="40" customWidth="1"/>
  </cols>
  <sheetData>
    <row r="1" spans="1:8" ht="21.75" customHeight="1">
      <c r="A1" s="43" t="s">
        <v>11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12</v>
      </c>
      <c r="C2" s="1" t="s">
        <v>13</v>
      </c>
    </row>
    <row r="3" spans="1:8" ht="15.75" customHeight="1">
      <c r="A3" s="2" t="s">
        <v>14</v>
      </c>
      <c r="B3" s="16">
        <v>45497</v>
      </c>
      <c r="C3" s="2"/>
    </row>
    <row r="4" spans="1:8" ht="15.75" customHeight="1">
      <c r="A4" s="4" t="s">
        <v>15</v>
      </c>
      <c r="B4" s="16">
        <v>45530</v>
      </c>
      <c r="C4" s="4"/>
    </row>
    <row r="5" spans="1:8" ht="15.75" customHeight="1">
      <c r="A5" s="2" t="s">
        <v>16</v>
      </c>
      <c r="B5" s="16">
        <v>45571</v>
      </c>
      <c r="C5" s="2"/>
    </row>
    <row r="6" spans="1:8" ht="15.75" customHeight="1">
      <c r="A6" s="4" t="s">
        <v>17</v>
      </c>
      <c r="B6" s="16">
        <v>45718</v>
      </c>
      <c r="C6" s="4"/>
    </row>
    <row r="7" spans="1:8" ht="15.75" customHeight="1">
      <c r="A7" s="2" t="s">
        <v>18</v>
      </c>
      <c r="B7" s="16">
        <v>45830</v>
      </c>
      <c r="C7" s="2"/>
    </row>
    <row r="8" spans="1:8" ht="15.75" customHeight="1">
      <c r="A8" s="4" t="s">
        <v>19</v>
      </c>
      <c r="B8" s="16">
        <v>46227</v>
      </c>
      <c r="C8" s="4" t="s">
        <v>20</v>
      </c>
    </row>
    <row r="9" spans="1:8" ht="15.75" customHeight="1">
      <c r="A9" s="2" t="s">
        <v>21</v>
      </c>
      <c r="B9" s="16">
        <v>46442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8" sqref="A8:D9"/>
    </sheetView>
  </sheetViews>
  <sheetFormatPr defaultColWidth="8.7109375" defaultRowHeight="1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>
      <c r="A1" s="43" t="s">
        <v>23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>
      <c r="A3" s="2" t="s">
        <v>26</v>
      </c>
      <c r="B3" s="15">
        <v>388016486</v>
      </c>
      <c r="C3" s="2"/>
      <c r="D3" s="2"/>
    </row>
    <row r="4" spans="1:8" ht="15.75" customHeight="1">
      <c r="A4" s="4" t="s">
        <v>27</v>
      </c>
      <c r="B4" s="15">
        <v>0</v>
      </c>
      <c r="C4" s="4"/>
      <c r="D4" s="4"/>
    </row>
    <row r="5" spans="1:8" ht="15.75" customHeight="1">
      <c r="A5" s="2" t="s">
        <v>28</v>
      </c>
      <c r="B5" s="15">
        <v>0</v>
      </c>
      <c r="C5" s="2"/>
      <c r="D5" s="2"/>
    </row>
    <row r="6" spans="1:8" ht="15.75" customHeight="1">
      <c r="A6" s="4" t="s">
        <v>29</v>
      </c>
      <c r="B6" s="15">
        <v>0</v>
      </c>
      <c r="C6" s="4"/>
      <c r="D6" s="4"/>
    </row>
    <row r="7" spans="1:8" ht="15.75" customHeight="1">
      <c r="A7" s="2" t="s">
        <v>30</v>
      </c>
      <c r="B7" s="15">
        <v>388016486</v>
      </c>
      <c r="C7" s="2"/>
      <c r="D7" s="2" t="s">
        <v>31</v>
      </c>
    </row>
    <row r="8" spans="1:8" ht="15.75" customHeight="1">
      <c r="A8" s="4" t="s">
        <v>32</v>
      </c>
      <c r="B8" s="15">
        <v>34426811</v>
      </c>
      <c r="C8" s="4"/>
      <c r="D8" s="4"/>
    </row>
    <row r="9" spans="1:8" ht="15.75" customHeight="1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7109375" defaultRowHeight="1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>
      <c r="A1" s="43" t="s">
        <v>35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>
      <c r="A3" s="2" t="s">
        <v>36</v>
      </c>
      <c r="B3" s="18">
        <v>355587125</v>
      </c>
      <c r="C3" s="20"/>
      <c r="D3" s="2" t="s">
        <v>37</v>
      </c>
    </row>
    <row r="4" spans="1:8" ht="15.75" customHeight="1">
      <c r="A4" s="4" t="s">
        <v>38</v>
      </c>
      <c r="B4" s="19" t="s">
        <v>39</v>
      </c>
      <c r="C4" s="21"/>
      <c r="D4" s="4" t="s">
        <v>40</v>
      </c>
    </row>
    <row r="5" spans="1:8" ht="15.75" customHeight="1">
      <c r="A5" s="4" t="s">
        <v>41</v>
      </c>
      <c r="B5" s="19">
        <v>0.78249999999999997</v>
      </c>
      <c r="C5" s="21"/>
      <c r="D5" s="4"/>
    </row>
    <row r="6" spans="1:8" ht="15.75" customHeight="1">
      <c r="A6" s="2" t="s">
        <v>42</v>
      </c>
      <c r="B6" s="19">
        <v>0.47110000000000002</v>
      </c>
      <c r="C6" s="22"/>
      <c r="D6" s="2" t="s">
        <v>43</v>
      </c>
    </row>
    <row r="7" spans="1:8" ht="15.75" customHeight="1">
      <c r="A7" s="4" t="s">
        <v>32</v>
      </c>
      <c r="B7" s="18">
        <v>34426811</v>
      </c>
      <c r="C7" s="21"/>
      <c r="D7" s="4" t="s">
        <v>37</v>
      </c>
    </row>
    <row r="8" spans="1:8" ht="15.75" customHeight="1">
      <c r="A8" s="2" t="s">
        <v>33</v>
      </c>
      <c r="B8" s="18">
        <v>15596872</v>
      </c>
      <c r="C8" s="20"/>
      <c r="D8" s="2" t="s">
        <v>37</v>
      </c>
    </row>
    <row r="9" spans="1:8" ht="15.75" customHeight="1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tabSelected="1" zoomScaleNormal="100" workbookViewId="0">
      <pane ySplit="2" topLeftCell="A3" activePane="bottomLeft" state="frozen"/>
      <selection pane="bottomLeft" activeCell="C3" sqref="C3:C8"/>
    </sheetView>
  </sheetViews>
  <sheetFormatPr defaultColWidth="8.7109375" defaultRowHeight="1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>
      <c r="A1" s="43" t="s">
        <v>49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>
      <c r="A3" s="2" t="s">
        <v>52</v>
      </c>
      <c r="B3" s="14">
        <v>223311139</v>
      </c>
      <c r="C3" s="45">
        <f>B3/Commercial_Info!$B$3</f>
        <v>0.57551971902554677</v>
      </c>
      <c r="D3" s="2" t="s">
        <v>53</v>
      </c>
      <c r="E3" s="2"/>
      <c r="G3" s="24"/>
    </row>
    <row r="4" spans="1:8" ht="15.75" customHeight="1">
      <c r="A4" s="4" t="s">
        <v>54</v>
      </c>
      <c r="B4" s="14">
        <v>204095236</v>
      </c>
      <c r="C4" s="45">
        <f>B4/Commercial_Info!$B$3</f>
        <v>0.52599630006442566</v>
      </c>
      <c r="D4" s="4" t="s">
        <v>55</v>
      </c>
      <c r="E4" s="4"/>
    </row>
    <row r="5" spans="1:8" ht="15.75" customHeight="1">
      <c r="A5" s="2" t="s">
        <v>56</v>
      </c>
      <c r="B5" s="14">
        <v>152961744</v>
      </c>
      <c r="C5" s="45">
        <f>B5/Commercial_Info!$B$3</f>
        <v>0.39421454891481078</v>
      </c>
      <c r="D5" s="2" t="s">
        <v>55</v>
      </c>
      <c r="E5" s="2"/>
    </row>
    <row r="6" spans="1:8" ht="15.75" customHeight="1">
      <c r="A6" s="4" t="s">
        <v>57</v>
      </c>
      <c r="B6" s="14">
        <v>0</v>
      </c>
      <c r="C6" s="21"/>
      <c r="D6" s="4" t="s">
        <v>58</v>
      </c>
      <c r="E6" s="4"/>
    </row>
    <row r="7" spans="1:8" ht="15.75" customHeight="1">
      <c r="A7" s="2" t="s">
        <v>59</v>
      </c>
      <c r="B7" s="14">
        <v>152961744</v>
      </c>
      <c r="C7" s="45">
        <f>B7/Commercial_Info!$B$3</f>
        <v>0.39421454891481078</v>
      </c>
      <c r="D7" s="2" t="s">
        <v>55</v>
      </c>
      <c r="E7" s="2"/>
    </row>
    <row r="8" spans="1:8" ht="28.5" customHeight="1">
      <c r="A8" s="4" t="s">
        <v>60</v>
      </c>
      <c r="B8" s="26" t="str">
        <f>ROUNDUP(C4*100,0)&amp;"%"&amp;" / "&amp;ROUNDUP(Budgetary_Info!B6*100,0)&amp;"%"</f>
        <v>53% / 48%</v>
      </c>
      <c r="C8" s="21"/>
      <c r="D8" s="4" t="s">
        <v>58</v>
      </c>
      <c r="E8" s="4" t="s">
        <v>61</v>
      </c>
    </row>
    <row r="10" spans="1:8">
      <c r="B10" s="37"/>
    </row>
    <row r="14" spans="1:8">
      <c r="E14" s="36"/>
    </row>
    <row r="15" spans="1:8">
      <c r="E15" s="36"/>
    </row>
    <row r="16" spans="1:8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9"/>
  <sheetViews>
    <sheetView zoomScale="115" zoomScaleNormal="115" workbookViewId="0">
      <pane ySplit="2" topLeftCell="A3" activePane="bottomLeft" state="frozen"/>
      <selection pane="bottomLeft" activeCell="B4" sqref="B4"/>
    </sheetView>
  </sheetViews>
  <sheetFormatPr defaultColWidth="8.7109375" defaultRowHeight="1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>
      <c r="A1" s="43" t="s">
        <v>62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>
      <c r="A3" s="2" t="s">
        <v>65</v>
      </c>
      <c r="B3" s="38">
        <v>14.58</v>
      </c>
      <c r="C3" s="2"/>
      <c r="D3" s="2" t="s">
        <v>66</v>
      </c>
    </row>
    <row r="4" spans="1:8" ht="46.5" customHeight="1">
      <c r="A4" s="4" t="s">
        <v>67</v>
      </c>
      <c r="B4" s="3" t="str">
        <f>IF(B3&gt;0,"Inflow exceeds outflow · positive position","Outflow exceeds inflow · negative position")</f>
        <v>Inflow exceeds outflow · positive position</v>
      </c>
      <c r="C4" s="4"/>
      <c r="D4" s="4" t="s">
        <v>68</v>
      </c>
    </row>
    <row r="5" spans="1:8" ht="27" customHeight="1">
      <c r="A5" s="2" t="s">
        <v>69</v>
      </c>
      <c r="B5" s="3">
        <v>152.6</v>
      </c>
      <c r="C5" s="35">
        <f>(B5/B6)*100</f>
        <v>110.26011560693641</v>
      </c>
      <c r="D5" s="2" t="s">
        <v>70</v>
      </c>
    </row>
    <row r="6" spans="1:8" ht="27" customHeight="1">
      <c r="A6" s="4" t="s">
        <v>71</v>
      </c>
      <c r="B6" s="3">
        <v>138.4</v>
      </c>
      <c r="C6" s="4" t="s">
        <v>39</v>
      </c>
      <c r="D6" s="4" t="s">
        <v>72</v>
      </c>
    </row>
    <row r="9" spans="1:8">
      <c r="B9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>
      <c r="A1" s="43" t="s">
        <v>73</v>
      </c>
      <c r="B1" s="43"/>
      <c r="C1" s="43"/>
      <c r="D1" s="43"/>
      <c r="E1" s="43"/>
      <c r="F1" s="43"/>
      <c r="G1" s="43"/>
      <c r="H1" s="43"/>
    </row>
    <row r="2" spans="1:8" ht="15" customHeight="1">
      <c r="A2" s="44" t="s">
        <v>74</v>
      </c>
      <c r="B2" s="44"/>
      <c r="C2" s="44"/>
      <c r="D2" s="44"/>
    </row>
    <row r="3" spans="1:8" ht="18" customHeight="1">
      <c r="A3" s="1" t="s">
        <v>1</v>
      </c>
      <c r="B3" s="1" t="s">
        <v>2</v>
      </c>
      <c r="C3" s="1" t="s">
        <v>13</v>
      </c>
      <c r="D3" s="1"/>
    </row>
    <row r="4" spans="1:8" ht="15.75" customHeight="1">
      <c r="A4" s="4" t="s">
        <v>75</v>
      </c>
      <c r="B4" s="3">
        <f>B5+B6</f>
        <v>712</v>
      </c>
      <c r="C4" s="4" t="s">
        <v>76</v>
      </c>
      <c r="D4" s="4"/>
    </row>
    <row r="5" spans="1:8" ht="15.75" customHeight="1">
      <c r="A5" s="2" t="s">
        <v>77</v>
      </c>
      <c r="B5" s="3">
        <v>599</v>
      </c>
      <c r="C5" s="2" t="s">
        <v>78</v>
      </c>
      <c r="D5" s="2"/>
    </row>
    <row r="6" spans="1:8" ht="15.75" customHeight="1">
      <c r="A6" s="4" t="s">
        <v>79</v>
      </c>
      <c r="B6" s="3">
        <v>113</v>
      </c>
      <c r="C6" s="4" t="s">
        <v>80</v>
      </c>
      <c r="D6" s="4"/>
    </row>
    <row r="7" spans="1:8" ht="15.75" customHeight="1">
      <c r="A7" s="2" t="s">
        <v>81</v>
      </c>
      <c r="B7" s="25">
        <f>B5/B4</f>
        <v>0.8412921348314607</v>
      </c>
      <c r="C7" s="2" t="s">
        <v>82</v>
      </c>
      <c r="D7" s="2"/>
    </row>
    <row r="8" spans="1:8" ht="6" customHeight="1"/>
    <row r="9" spans="1:8" ht="15" customHeight="1">
      <c r="A9" s="44" t="s">
        <v>83</v>
      </c>
      <c r="B9" s="44"/>
      <c r="C9" s="44"/>
      <c r="D9" s="44"/>
    </row>
    <row r="10" spans="1:8" ht="18" customHeight="1">
      <c r="A10" s="1" t="s">
        <v>84</v>
      </c>
      <c r="B10" s="1" t="s">
        <v>85</v>
      </c>
      <c r="C10" s="1" t="s">
        <v>13</v>
      </c>
      <c r="D10" s="1"/>
    </row>
    <row r="11" spans="1:8" ht="15.75" customHeight="1">
      <c r="A11" s="2" t="s">
        <v>86</v>
      </c>
      <c r="B11" s="3">
        <v>388</v>
      </c>
      <c r="C11" s="2" t="s">
        <v>87</v>
      </c>
      <c r="D11" s="2"/>
    </row>
    <row r="12" spans="1:8" ht="15.75" customHeight="1">
      <c r="A12" s="4" t="s">
        <v>88</v>
      </c>
      <c r="B12" s="3">
        <v>211</v>
      </c>
      <c r="C12" s="4" t="s">
        <v>87</v>
      </c>
      <c r="D12" s="4"/>
    </row>
    <row r="13" spans="1:8" ht="6" customHeight="1"/>
    <row r="14" spans="1:8" ht="15" customHeight="1">
      <c r="A14" s="44" t="s">
        <v>89</v>
      </c>
      <c r="B14" s="44"/>
      <c r="C14" s="44"/>
      <c r="D14" s="44"/>
    </row>
    <row r="15" spans="1:8" ht="18" customHeight="1">
      <c r="A15" s="1" t="s">
        <v>90</v>
      </c>
      <c r="B15" s="1" t="s">
        <v>2</v>
      </c>
      <c r="C15" s="1" t="s">
        <v>91</v>
      </c>
      <c r="D15" s="1"/>
    </row>
    <row r="16" spans="1:8" ht="15.75" customHeight="1">
      <c r="A16" s="4" t="s">
        <v>92</v>
      </c>
      <c r="B16" s="3">
        <f>B4/B5*100</f>
        <v>118.86477462437395</v>
      </c>
      <c r="C16" s="4" t="s">
        <v>93</v>
      </c>
      <c r="D16" s="4"/>
    </row>
    <row r="17" spans="1:4" ht="15.75" customHeight="1">
      <c r="A17" s="2" t="s">
        <v>94</v>
      </c>
      <c r="B17" s="3">
        <f>B6/B5*100</f>
        <v>18.864774624373958</v>
      </c>
      <c r="C17" s="2" t="s">
        <v>95</v>
      </c>
      <c r="D17" s="2"/>
    </row>
    <row r="18" spans="1:4" ht="15.75" customHeight="1">
      <c r="A18" s="4" t="s">
        <v>96</v>
      </c>
      <c r="B18" s="3">
        <f>B16</f>
        <v>118.86477462437395</v>
      </c>
      <c r="C18" s="4" t="s">
        <v>97</v>
      </c>
      <c r="D18" s="4"/>
    </row>
    <row r="19" spans="1:4" ht="15.75" customHeight="1">
      <c r="A19" s="2" t="s">
        <v>98</v>
      </c>
      <c r="B19" s="3">
        <f>100-B16</f>
        <v>-18.86477462437395</v>
      </c>
      <c r="C19" s="2" t="s">
        <v>99</v>
      </c>
      <c r="D19" s="2"/>
    </row>
    <row r="20" spans="1:4" ht="15.75" customHeight="1">
      <c r="A20" s="4" t="s">
        <v>100</v>
      </c>
      <c r="B20" s="3">
        <f>B17</f>
        <v>18.864774624373958</v>
      </c>
      <c r="C20" s="4" t="s">
        <v>101</v>
      </c>
      <c r="D20" s="4"/>
    </row>
    <row r="21" spans="1:4" ht="15.75" customHeight="1">
      <c r="A21" s="2" t="s">
        <v>102</v>
      </c>
      <c r="B21" s="3">
        <f>100-B17</f>
        <v>81.13522537562605</v>
      </c>
      <c r="C21" s="2" t="s">
        <v>103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>
      <c r="A1" s="43" t="s">
        <v>104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105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>
      <c r="A3" s="2" t="s">
        <v>110</v>
      </c>
      <c r="B3" s="27">
        <v>93.23</v>
      </c>
      <c r="C3" s="27">
        <v>84.78</v>
      </c>
      <c r="D3" s="5">
        <f t="shared" ref="D3:D8" si="0">-C3+B3</f>
        <v>8.4500000000000028</v>
      </c>
      <c r="E3" s="2" t="s">
        <v>111</v>
      </c>
      <c r="F3" s="2" t="s">
        <v>112</v>
      </c>
    </row>
    <row r="4" spans="1:8" ht="15.75" customHeight="1">
      <c r="A4" s="4" t="s">
        <v>113</v>
      </c>
      <c r="B4" s="28">
        <v>100</v>
      </c>
      <c r="C4" s="28">
        <v>99.25</v>
      </c>
      <c r="D4" s="6">
        <f t="shared" si="0"/>
        <v>0.75</v>
      </c>
      <c r="E4" s="4" t="s">
        <v>114</v>
      </c>
      <c r="F4" s="4" t="s">
        <v>115</v>
      </c>
    </row>
    <row r="5" spans="1:8" ht="15.75" customHeight="1">
      <c r="A5" s="2" t="s">
        <v>116</v>
      </c>
      <c r="B5" s="27">
        <v>100</v>
      </c>
      <c r="C5" s="27">
        <v>95.69</v>
      </c>
      <c r="D5" s="5">
        <f t="shared" si="0"/>
        <v>4.3100000000000023</v>
      </c>
      <c r="E5" s="2" t="s">
        <v>117</v>
      </c>
      <c r="F5" s="2" t="s">
        <v>118</v>
      </c>
    </row>
    <row r="6" spans="1:8" ht="15.75" customHeight="1">
      <c r="A6" s="4" t="s">
        <v>119</v>
      </c>
      <c r="B6" s="28">
        <v>96.41</v>
      </c>
      <c r="C6" s="28">
        <v>91.53</v>
      </c>
      <c r="D6" s="6">
        <f t="shared" si="0"/>
        <v>4.8799999999999955</v>
      </c>
      <c r="E6" s="4" t="s">
        <v>111</v>
      </c>
      <c r="F6" s="4" t="s">
        <v>112</v>
      </c>
    </row>
    <row r="7" spans="1:8" ht="15.75" customHeight="1">
      <c r="A7" s="2" t="s">
        <v>120</v>
      </c>
      <c r="B7" s="27">
        <v>100</v>
      </c>
      <c r="C7" s="27">
        <v>93.32</v>
      </c>
      <c r="D7" s="5">
        <f t="shared" si="0"/>
        <v>6.6800000000000068</v>
      </c>
      <c r="E7" s="2" t="s">
        <v>117</v>
      </c>
      <c r="F7" s="2" t="s">
        <v>118</v>
      </c>
    </row>
    <row r="8" spans="1:8" ht="15.75" customHeight="1">
      <c r="A8" s="4" t="s">
        <v>121</v>
      </c>
      <c r="B8" s="28">
        <v>71.23</v>
      </c>
      <c r="C8" s="28">
        <v>24.82</v>
      </c>
      <c r="D8" s="6">
        <f t="shared" si="0"/>
        <v>46.410000000000004</v>
      </c>
      <c r="E8" s="4" t="s">
        <v>111</v>
      </c>
      <c r="F8" s="4" t="s">
        <v>122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>
      <c r="A1" s="43" t="s">
        <v>123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124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>
      <c r="A3" s="2" t="s">
        <v>125</v>
      </c>
      <c r="B3" s="2">
        <v>93.23</v>
      </c>
      <c r="C3" s="2">
        <v>84.22</v>
      </c>
      <c r="D3" s="5">
        <f>-C3+B3</f>
        <v>9.0100000000000051</v>
      </c>
      <c r="E3" s="2" t="s">
        <v>111</v>
      </c>
      <c r="F3" s="2"/>
    </row>
    <row r="4" spans="1:8" ht="15.75" customHeight="1">
      <c r="A4" s="4" t="s">
        <v>126</v>
      </c>
      <c r="B4" s="4">
        <v>92.64</v>
      </c>
      <c r="C4" s="4">
        <v>84.89</v>
      </c>
      <c r="D4" s="6">
        <f>-C4+B4</f>
        <v>7.75</v>
      </c>
      <c r="E4" s="4" t="s">
        <v>117</v>
      </c>
      <c r="F4" s="4"/>
    </row>
    <row r="5" spans="1:8" ht="15.75" customHeight="1">
      <c r="A5" s="2" t="s">
        <v>127</v>
      </c>
      <c r="B5" s="2">
        <v>91.73</v>
      </c>
      <c r="C5" s="2">
        <v>81.89</v>
      </c>
      <c r="D5" s="5">
        <f>-C5+B5</f>
        <v>9.8400000000000034</v>
      </c>
      <c r="E5" s="2" t="s">
        <v>111</v>
      </c>
      <c r="F5" s="2" t="s">
        <v>128</v>
      </c>
    </row>
    <row r="6" spans="1:8" ht="15.75" customHeight="1">
      <c r="A6" s="4" t="s">
        <v>129</v>
      </c>
      <c r="B6" s="4">
        <v>95.99</v>
      </c>
      <c r="C6" s="4">
        <v>84.87</v>
      </c>
      <c r="D6" s="6">
        <f>-C6+B6</f>
        <v>11.11999999999999</v>
      </c>
      <c r="E6" s="4" t="s">
        <v>111</v>
      </c>
      <c r="F6" s="4"/>
    </row>
    <row r="7" spans="1:8" ht="15.75" customHeight="1">
      <c r="A7" s="2" t="s">
        <v>130</v>
      </c>
      <c r="B7" s="2">
        <v>95.79</v>
      </c>
      <c r="C7" s="2">
        <v>91.27</v>
      </c>
      <c r="D7" s="5">
        <f>-C7+B7</f>
        <v>4.5200000000000102</v>
      </c>
      <c r="E7" s="2" t="s">
        <v>117</v>
      </c>
      <c r="F7" s="2" t="s">
        <v>131</v>
      </c>
    </row>
    <row r="8" spans="1:8" ht="15" customHeight="1">
      <c r="A8" s="7" t="s">
        <v>132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15" activePane="bottomLeft" state="frozen"/>
      <selection pane="bottomLeft" activeCell="G31" sqref="G31"/>
    </sheetView>
  </sheetViews>
  <sheetFormatPr defaultColWidth="8.7109375" defaultRowHeight="1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>
      <c r="A1" s="43" t="s">
        <v>133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134</v>
      </c>
      <c r="B2" s="1" t="s">
        <v>135</v>
      </c>
      <c r="C2" s="1" t="s">
        <v>136</v>
      </c>
      <c r="D2" s="1" t="s">
        <v>137</v>
      </c>
      <c r="E2" s="1" t="s">
        <v>138</v>
      </c>
      <c r="F2" s="1" t="s">
        <v>139</v>
      </c>
      <c r="G2" s="1" t="s">
        <v>140</v>
      </c>
      <c r="H2" s="1" t="s">
        <v>13</v>
      </c>
    </row>
    <row r="3" spans="1:8" ht="15.75" customHeight="1">
      <c r="A3" s="32">
        <v>45620</v>
      </c>
      <c r="B3" s="2" t="s">
        <v>141</v>
      </c>
      <c r="C3" s="2" t="s">
        <v>142</v>
      </c>
      <c r="D3" s="2" t="s">
        <v>143</v>
      </c>
      <c r="E3" s="2" t="s">
        <v>144</v>
      </c>
      <c r="F3" s="2"/>
      <c r="G3" s="2"/>
      <c r="H3" s="2" t="s">
        <v>145</v>
      </c>
    </row>
    <row r="4" spans="1:8" ht="15.75" customHeight="1">
      <c r="A4" s="33">
        <v>45650</v>
      </c>
      <c r="B4" s="4" t="s">
        <v>144</v>
      </c>
      <c r="C4" s="4"/>
      <c r="D4" s="4"/>
      <c r="E4" s="4" t="s">
        <v>144</v>
      </c>
      <c r="F4" s="4"/>
      <c r="G4" s="4"/>
      <c r="H4" s="4"/>
    </row>
    <row r="5" spans="1:8" ht="15.75" customHeight="1">
      <c r="A5" s="32">
        <v>45681</v>
      </c>
      <c r="B5" s="2" t="s">
        <v>144</v>
      </c>
      <c r="C5" s="2"/>
      <c r="D5" s="2"/>
      <c r="E5" s="2" t="s">
        <v>144</v>
      </c>
      <c r="F5" s="2"/>
      <c r="G5" s="2"/>
      <c r="H5" s="2"/>
    </row>
    <row r="6" spans="1:8" ht="15.75" customHeight="1">
      <c r="A6" s="33">
        <v>45712</v>
      </c>
      <c r="B6" s="4" t="s">
        <v>144</v>
      </c>
      <c r="C6" s="4"/>
      <c r="D6" s="4"/>
      <c r="E6" s="4" t="s">
        <v>144</v>
      </c>
      <c r="F6" s="4"/>
      <c r="G6" s="4"/>
      <c r="H6" s="4"/>
    </row>
    <row r="7" spans="1:8" ht="15.75" customHeight="1">
      <c r="A7" s="32">
        <v>45740</v>
      </c>
      <c r="B7" s="2" t="s">
        <v>141</v>
      </c>
      <c r="C7" s="2" t="s">
        <v>146</v>
      </c>
      <c r="D7" s="2" t="s">
        <v>143</v>
      </c>
      <c r="E7" s="2" t="s">
        <v>144</v>
      </c>
      <c r="F7" s="2"/>
      <c r="G7" s="2"/>
      <c r="H7" s="2"/>
    </row>
    <row r="8" spans="1:8" ht="15.75" customHeight="1">
      <c r="A8" s="33">
        <v>45771</v>
      </c>
      <c r="B8" s="4" t="s">
        <v>141</v>
      </c>
      <c r="C8" s="4" t="s">
        <v>147</v>
      </c>
      <c r="D8" s="4" t="s">
        <v>148</v>
      </c>
      <c r="E8" s="4" t="s">
        <v>144</v>
      </c>
      <c r="F8" s="4"/>
      <c r="G8" s="4"/>
      <c r="H8" s="4" t="s">
        <v>149</v>
      </c>
    </row>
    <row r="9" spans="1:8" ht="15.75" customHeight="1">
      <c r="A9" s="32">
        <v>45801</v>
      </c>
      <c r="B9" s="2" t="s">
        <v>144</v>
      </c>
      <c r="C9" s="2"/>
      <c r="D9" s="2"/>
      <c r="E9" s="2" t="s">
        <v>144</v>
      </c>
      <c r="F9" s="2"/>
      <c r="G9" s="2"/>
      <c r="H9" s="2"/>
    </row>
    <row r="10" spans="1:8" ht="15.75" customHeight="1">
      <c r="A10" s="33">
        <v>45832</v>
      </c>
      <c r="B10" s="4" t="s">
        <v>141</v>
      </c>
      <c r="C10" s="4" t="s">
        <v>150</v>
      </c>
      <c r="D10" s="4" t="s">
        <v>143</v>
      </c>
      <c r="E10" s="4" t="s">
        <v>144</v>
      </c>
      <c r="F10" s="4"/>
      <c r="G10" s="4"/>
      <c r="H10" s="4"/>
    </row>
    <row r="11" spans="1:8" ht="15.75" customHeight="1">
      <c r="A11" s="32">
        <v>45862</v>
      </c>
      <c r="B11" s="2" t="s">
        <v>144</v>
      </c>
      <c r="C11" s="2"/>
      <c r="D11" s="2"/>
      <c r="E11" s="2" t="s">
        <v>144</v>
      </c>
      <c r="F11" s="2"/>
      <c r="G11" s="2"/>
      <c r="H11" s="2"/>
    </row>
    <row r="12" spans="1:8" ht="15.75" customHeight="1">
      <c r="A12" s="33">
        <v>45893</v>
      </c>
      <c r="B12" s="4" t="s">
        <v>144</v>
      </c>
      <c r="C12" s="4"/>
      <c r="D12" s="4"/>
      <c r="E12" s="4" t="s">
        <v>144</v>
      </c>
      <c r="F12" s="4"/>
      <c r="G12" s="4"/>
      <c r="H12" s="4"/>
    </row>
    <row r="13" spans="1:8" ht="25.5">
      <c r="A13" s="32">
        <v>45924</v>
      </c>
      <c r="B13" s="2" t="s">
        <v>141</v>
      </c>
      <c r="C13" s="2" t="s">
        <v>151</v>
      </c>
      <c r="D13" s="2" t="s">
        <v>148</v>
      </c>
      <c r="E13" s="2" t="s">
        <v>144</v>
      </c>
      <c r="F13" s="2"/>
      <c r="G13" s="2"/>
      <c r="H13" s="2"/>
    </row>
    <row r="14" spans="1:8" ht="25.5">
      <c r="A14" s="33">
        <v>45954</v>
      </c>
      <c r="B14" s="4" t="s">
        <v>141</v>
      </c>
      <c r="C14" s="4" t="s">
        <v>152</v>
      </c>
      <c r="D14" s="4" t="s">
        <v>143</v>
      </c>
      <c r="E14" s="4" t="s">
        <v>144</v>
      </c>
      <c r="F14" s="4"/>
      <c r="G14" s="4"/>
      <c r="H14" s="4"/>
    </row>
    <row r="15" spans="1:8" ht="15.75" customHeight="1">
      <c r="A15" s="32">
        <v>45985</v>
      </c>
      <c r="B15" s="2" t="s">
        <v>144</v>
      </c>
      <c r="C15" s="2"/>
      <c r="D15" s="2"/>
      <c r="E15" s="2" t="s">
        <v>144</v>
      </c>
      <c r="F15" s="2"/>
      <c r="G15" s="2"/>
      <c r="H15" s="2"/>
    </row>
    <row r="16" spans="1:8" ht="15.75" customHeight="1">
      <c r="A16" s="33">
        <v>46015</v>
      </c>
      <c r="B16" s="4" t="s">
        <v>141</v>
      </c>
      <c r="C16" s="4" t="s">
        <v>153</v>
      </c>
      <c r="D16" s="4" t="s">
        <v>148</v>
      </c>
      <c r="E16" s="4" t="s">
        <v>144</v>
      </c>
      <c r="F16" s="4"/>
      <c r="G16" s="4"/>
      <c r="H16" s="4"/>
    </row>
    <row r="17" spans="1:8" ht="15.75" customHeight="1">
      <c r="A17" s="32">
        <v>46046</v>
      </c>
      <c r="B17" s="2" t="s">
        <v>144</v>
      </c>
      <c r="C17" s="2"/>
      <c r="D17" s="2"/>
      <c r="E17" s="2" t="s">
        <v>144</v>
      </c>
      <c r="F17" s="2"/>
      <c r="G17" s="2"/>
      <c r="H17" s="2"/>
    </row>
    <row r="18" spans="1:8" ht="15.75" customHeight="1">
      <c r="A18" s="33">
        <v>46077</v>
      </c>
      <c r="B18" s="4" t="s">
        <v>144</v>
      </c>
      <c r="C18" s="4"/>
      <c r="D18" s="4"/>
      <c r="E18" s="4" t="s">
        <v>144</v>
      </c>
      <c r="F18" s="4"/>
      <c r="G18" s="4"/>
      <c r="H18" s="4"/>
    </row>
    <row r="19" spans="1:8" ht="15.75" customHeight="1">
      <c r="A19" s="32">
        <v>46105</v>
      </c>
      <c r="B19" s="2" t="s">
        <v>144</v>
      </c>
      <c r="C19" s="2"/>
      <c r="D19" s="2"/>
      <c r="E19" s="2" t="s">
        <v>144</v>
      </c>
      <c r="F19" s="2"/>
      <c r="G19" s="2"/>
      <c r="H19" s="2"/>
    </row>
    <row r="20" spans="1:8" ht="15.75" customHeight="1">
      <c r="A20" s="33">
        <v>46136</v>
      </c>
      <c r="B20" s="2" t="s">
        <v>144</v>
      </c>
      <c r="C20" s="2"/>
      <c r="D20" s="2"/>
      <c r="E20" s="2" t="s">
        <v>144</v>
      </c>
      <c r="F20" s="2"/>
      <c r="G20" s="2"/>
      <c r="H20" s="2"/>
    </row>
    <row r="21" spans="1:8" ht="15.75" customHeight="1">
      <c r="A21" s="32">
        <v>46166</v>
      </c>
      <c r="B21" s="2" t="s">
        <v>144</v>
      </c>
      <c r="C21" s="2"/>
      <c r="D21" s="2"/>
      <c r="E21" s="2" t="s">
        <v>144</v>
      </c>
      <c r="F21" s="2"/>
      <c r="G21" s="2"/>
      <c r="H21" s="2"/>
    </row>
    <row r="22" spans="1:8" ht="15.75" customHeight="1">
      <c r="A22" s="33">
        <v>46197</v>
      </c>
      <c r="B22" s="2" t="s">
        <v>144</v>
      </c>
      <c r="C22" s="2"/>
      <c r="D22" s="2"/>
      <c r="E22" s="2" t="s">
        <v>141</v>
      </c>
      <c r="F22" s="2"/>
      <c r="G22" s="2"/>
      <c r="H22" s="2"/>
    </row>
    <row r="23" spans="1:8">
      <c r="A23" s="32">
        <v>46227</v>
      </c>
      <c r="B23" s="8" t="s">
        <v>144</v>
      </c>
      <c r="C23" s="8"/>
      <c r="D23" s="8"/>
      <c r="E23" s="8" t="s">
        <v>141</v>
      </c>
      <c r="F23" s="8" t="s">
        <v>19</v>
      </c>
      <c r="G23" s="8" t="s">
        <v>154</v>
      </c>
      <c r="H23" s="8" t="s">
        <v>155</v>
      </c>
    </row>
    <row r="24" spans="1:8">
      <c r="A24" s="33">
        <v>46258</v>
      </c>
      <c r="B24" s="2" t="s">
        <v>144</v>
      </c>
      <c r="C24" s="2"/>
      <c r="D24" s="2"/>
      <c r="E24" s="2" t="s">
        <v>144</v>
      </c>
      <c r="F24" s="2"/>
      <c r="G24" s="2"/>
      <c r="H24" s="2"/>
    </row>
    <row r="25" spans="1:8">
      <c r="A25" s="32">
        <v>46289</v>
      </c>
      <c r="B25" s="2" t="s">
        <v>144</v>
      </c>
      <c r="C25" s="2"/>
      <c r="D25" s="2"/>
      <c r="E25" s="2" t="s">
        <v>144</v>
      </c>
      <c r="F25" s="2"/>
      <c r="G25" s="2"/>
      <c r="H25" s="2"/>
    </row>
    <row r="26" spans="1:8">
      <c r="A26" s="33">
        <v>46319</v>
      </c>
      <c r="B26" s="2" t="s">
        <v>144</v>
      </c>
      <c r="C26" s="2"/>
      <c r="D26" s="2"/>
      <c r="E26" s="2" t="s">
        <v>144</v>
      </c>
      <c r="F26" s="2"/>
      <c r="G26" s="2"/>
      <c r="H26" s="2"/>
    </row>
    <row r="27" spans="1:8">
      <c r="A27" s="32">
        <v>46350</v>
      </c>
      <c r="B27" s="2" t="s">
        <v>144</v>
      </c>
      <c r="E27" s="2" t="s">
        <v>144</v>
      </c>
    </row>
    <row r="28" spans="1:8">
      <c r="A28" s="33">
        <v>46380</v>
      </c>
      <c r="B28" s="2" t="s">
        <v>144</v>
      </c>
      <c r="E28" s="2" t="s">
        <v>144</v>
      </c>
    </row>
    <row r="29" spans="1:8">
      <c r="A29" s="32">
        <v>46411</v>
      </c>
      <c r="B29" s="2" t="s">
        <v>144</v>
      </c>
      <c r="E29" s="2" t="s">
        <v>144</v>
      </c>
    </row>
    <row r="30" spans="1:8">
      <c r="A30" s="33">
        <v>46442</v>
      </c>
      <c r="B30" s="9" t="s">
        <v>144</v>
      </c>
      <c r="C30" s="9"/>
      <c r="D30" s="9"/>
      <c r="E30" s="9" t="s">
        <v>141</v>
      </c>
      <c r="F30" s="9" t="s">
        <v>156</v>
      </c>
      <c r="G30" s="29">
        <v>46442</v>
      </c>
      <c r="H30" s="9" t="s">
        <v>157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12"/>
  <sheetViews>
    <sheetView zoomScale="115" zoomScaleNormal="115" workbookViewId="0">
      <pane ySplit="2" topLeftCell="A5" activePane="bottomLeft" state="frozen"/>
      <selection pane="bottomLeft" activeCell="E9" sqref="E9"/>
    </sheetView>
  </sheetViews>
  <sheetFormatPr defaultColWidth="8.7109375" defaultRowHeight="1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>
      <c r="A1" s="43" t="s">
        <v>158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159</v>
      </c>
      <c r="B2" s="1" t="s">
        <v>160</v>
      </c>
      <c r="C2" s="1" t="s">
        <v>161</v>
      </c>
      <c r="D2" s="1" t="s">
        <v>162</v>
      </c>
      <c r="E2" s="1" t="s">
        <v>163</v>
      </c>
      <c r="F2" s="1" t="s">
        <v>164</v>
      </c>
    </row>
    <row r="3" spans="1:8" ht="38.25">
      <c r="A3" s="2">
        <v>1</v>
      </c>
      <c r="B3" s="2" t="s">
        <v>165</v>
      </c>
      <c r="C3" s="2" t="s">
        <v>166</v>
      </c>
      <c r="D3" s="2" t="s">
        <v>167</v>
      </c>
      <c r="E3" s="2" t="s">
        <v>168</v>
      </c>
      <c r="F3" s="10" t="s">
        <v>169</v>
      </c>
    </row>
    <row r="4" spans="1:8" ht="25.5">
      <c r="A4" s="4">
        <v>2</v>
      </c>
      <c r="B4" s="4" t="s">
        <v>170</v>
      </c>
      <c r="C4" s="4" t="s">
        <v>171</v>
      </c>
      <c r="D4" s="4" t="s">
        <v>172</v>
      </c>
      <c r="E4" s="4" t="s">
        <v>173</v>
      </c>
      <c r="F4" s="10" t="s">
        <v>169</v>
      </c>
    </row>
    <row r="5" spans="1:8" ht="38.25">
      <c r="A5" s="2">
        <v>3</v>
      </c>
      <c r="B5" s="2" t="s">
        <v>174</v>
      </c>
      <c r="C5" s="2" t="s">
        <v>171</v>
      </c>
      <c r="D5" s="2" t="s">
        <v>172</v>
      </c>
      <c r="E5" s="2" t="s">
        <v>175</v>
      </c>
      <c r="F5" s="10" t="s">
        <v>169</v>
      </c>
    </row>
    <row r="6" spans="1:8" ht="38.25">
      <c r="A6" s="2">
        <v>4</v>
      </c>
      <c r="B6" s="2" t="s">
        <v>176</v>
      </c>
      <c r="C6" s="2" t="s">
        <v>171</v>
      </c>
      <c r="D6" s="2" t="s">
        <v>172</v>
      </c>
      <c r="E6" s="2" t="s">
        <v>177</v>
      </c>
      <c r="F6" s="10" t="s">
        <v>169</v>
      </c>
    </row>
    <row r="7" spans="1:8" ht="25.5">
      <c r="A7" s="2">
        <v>5</v>
      </c>
      <c r="B7" s="2" t="s">
        <v>178</v>
      </c>
      <c r="C7" s="2" t="s">
        <v>179</v>
      </c>
      <c r="D7" s="2" t="s">
        <v>172</v>
      </c>
      <c r="E7" s="2" t="s">
        <v>180</v>
      </c>
      <c r="F7" s="10" t="s">
        <v>169</v>
      </c>
    </row>
    <row r="8" spans="1:8" ht="25.5">
      <c r="A8" s="2">
        <v>6</v>
      </c>
      <c r="B8" s="2" t="s">
        <v>181</v>
      </c>
      <c r="C8" s="2" t="s">
        <v>171</v>
      </c>
      <c r="D8" s="2" t="s">
        <v>182</v>
      </c>
      <c r="E8" s="2" t="s">
        <v>183</v>
      </c>
      <c r="F8" s="10" t="s">
        <v>184</v>
      </c>
    </row>
    <row r="9" spans="1:8">
      <c r="A9" s="2">
        <v>7</v>
      </c>
      <c r="B9" s="2" t="s">
        <v>185</v>
      </c>
      <c r="C9" s="2" t="s">
        <v>179</v>
      </c>
      <c r="D9" s="2" t="s">
        <v>186</v>
      </c>
      <c r="E9" s="2" t="s">
        <v>187</v>
      </c>
      <c r="F9" s="10" t="s">
        <v>169</v>
      </c>
    </row>
    <row r="10" spans="1:8">
      <c r="A10" s="2">
        <v>8</v>
      </c>
      <c r="B10" s="2" t="s">
        <v>188</v>
      </c>
      <c r="C10" s="2" t="s">
        <v>179</v>
      </c>
      <c r="D10" s="2" t="s">
        <v>186</v>
      </c>
      <c r="E10" s="2" t="s">
        <v>189</v>
      </c>
      <c r="F10" s="10" t="s">
        <v>190</v>
      </c>
    </row>
    <row r="11" spans="1:8">
      <c r="A11" s="2">
        <v>9</v>
      </c>
      <c r="B11" s="2" t="s">
        <v>191</v>
      </c>
      <c r="C11" s="2" t="s">
        <v>179</v>
      </c>
      <c r="D11" s="2" t="s">
        <v>186</v>
      </c>
      <c r="E11" s="2" t="s">
        <v>192</v>
      </c>
      <c r="F11" s="10" t="s">
        <v>169</v>
      </c>
    </row>
    <row r="12" spans="1:8" ht="25.5">
      <c r="A12" s="2">
        <v>10</v>
      </c>
      <c r="B12" s="2" t="s">
        <v>193</v>
      </c>
      <c r="C12" s="2" t="s">
        <v>179</v>
      </c>
      <c r="D12" s="2" t="s">
        <v>194</v>
      </c>
      <c r="E12" s="2" t="s">
        <v>195</v>
      </c>
      <c r="F12" s="10" t="s">
        <v>184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8"/>
  <sheetViews>
    <sheetView zoomScale="130" zoomScaleNormal="130" workbookViewId="0">
      <pane ySplit="2" topLeftCell="A3" activePane="bottomLeft" state="frozen"/>
      <selection pane="bottomLeft" activeCell="D10" sqref="D10"/>
    </sheetView>
  </sheetViews>
  <sheetFormatPr defaultColWidth="8.7109375" defaultRowHeight="1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>
      <c r="A1" s="43" t="s">
        <v>196</v>
      </c>
      <c r="B1" s="43"/>
      <c r="C1" s="43"/>
      <c r="D1" s="43"/>
      <c r="E1" s="43"/>
      <c r="F1" s="43"/>
      <c r="G1" s="43"/>
      <c r="H1" s="43"/>
    </row>
    <row r="2" spans="1:21" ht="18" customHeight="1">
      <c r="A2" s="1" t="s">
        <v>159</v>
      </c>
      <c r="B2" s="1" t="s">
        <v>116</v>
      </c>
      <c r="C2" s="1" t="s">
        <v>197</v>
      </c>
      <c r="D2" s="1" t="s">
        <v>198</v>
      </c>
      <c r="E2" s="1" t="s">
        <v>199</v>
      </c>
      <c r="F2" s="1" t="s">
        <v>200</v>
      </c>
      <c r="G2" s="1" t="s">
        <v>201</v>
      </c>
      <c r="H2" s="1" t="s">
        <v>202</v>
      </c>
    </row>
    <row r="3" spans="1:21" ht="15.75" customHeight="1">
      <c r="A3" s="2">
        <v>1</v>
      </c>
      <c r="B3" s="2" t="s">
        <v>203</v>
      </c>
      <c r="C3" s="2" t="s">
        <v>204</v>
      </c>
      <c r="D3" s="2" t="s">
        <v>205</v>
      </c>
      <c r="E3" s="13">
        <v>1</v>
      </c>
      <c r="F3" s="13">
        <v>1</v>
      </c>
      <c r="G3" s="13">
        <v>0.95</v>
      </c>
      <c r="H3" s="10" t="s">
        <v>206</v>
      </c>
    </row>
    <row r="4" spans="1:21" ht="15.75" customHeight="1">
      <c r="A4" s="4">
        <v>2</v>
      </c>
      <c r="B4" s="4" t="s">
        <v>207</v>
      </c>
      <c r="C4" s="4" t="s">
        <v>208</v>
      </c>
      <c r="D4" s="4" t="s">
        <v>205</v>
      </c>
      <c r="E4" s="34">
        <v>1</v>
      </c>
      <c r="F4" s="34">
        <v>1</v>
      </c>
      <c r="G4" s="34">
        <v>1</v>
      </c>
      <c r="H4" s="11" t="s">
        <v>209</v>
      </c>
    </row>
    <row r="5" spans="1:21" ht="15.75" customHeight="1">
      <c r="A5" s="2">
        <v>3</v>
      </c>
      <c r="B5" s="2" t="s">
        <v>210</v>
      </c>
      <c r="C5" s="2" t="s">
        <v>208</v>
      </c>
      <c r="D5" s="2" t="s">
        <v>205</v>
      </c>
      <c r="E5" s="13">
        <v>1</v>
      </c>
      <c r="F5" s="13">
        <v>1</v>
      </c>
      <c r="G5" s="13">
        <v>1</v>
      </c>
      <c r="H5" s="11" t="s">
        <v>209</v>
      </c>
    </row>
    <row r="6" spans="1:21" ht="15.75" customHeight="1">
      <c r="A6" s="4">
        <v>4</v>
      </c>
      <c r="B6" s="4" t="s">
        <v>211</v>
      </c>
      <c r="C6" s="4" t="s">
        <v>212</v>
      </c>
      <c r="D6" s="4" t="s">
        <v>205</v>
      </c>
      <c r="E6" s="34">
        <v>1</v>
      </c>
      <c r="F6" s="34">
        <v>1</v>
      </c>
      <c r="G6" s="34">
        <v>1</v>
      </c>
      <c r="H6" s="11" t="s">
        <v>209</v>
      </c>
    </row>
    <row r="7" spans="1:21" ht="15.75" customHeight="1">
      <c r="A7" s="2">
        <v>5</v>
      </c>
      <c r="B7" s="4" t="s">
        <v>213</v>
      </c>
      <c r="C7" s="2" t="s">
        <v>208</v>
      </c>
      <c r="D7" s="4" t="s">
        <v>205</v>
      </c>
      <c r="E7" s="34">
        <v>1</v>
      </c>
      <c r="F7" s="34">
        <v>1</v>
      </c>
      <c r="G7" s="34">
        <v>1</v>
      </c>
      <c r="H7" s="11" t="s">
        <v>209</v>
      </c>
    </row>
    <row r="8" spans="1:21" ht="15.75" customHeight="1">
      <c r="A8" s="4">
        <v>6</v>
      </c>
      <c r="B8" s="2" t="s">
        <v>214</v>
      </c>
      <c r="C8" s="2" t="s">
        <v>215</v>
      </c>
      <c r="D8" s="2" t="s">
        <v>205</v>
      </c>
      <c r="E8" s="13">
        <v>1</v>
      </c>
      <c r="F8" s="13">
        <v>0.9</v>
      </c>
      <c r="G8" s="13">
        <v>0.9</v>
      </c>
      <c r="H8" s="10" t="s">
        <v>206</v>
      </c>
    </row>
    <row r="9" spans="1:21" ht="15.75" customHeight="1">
      <c r="A9" s="2">
        <v>7</v>
      </c>
      <c r="B9" s="4" t="s">
        <v>216</v>
      </c>
      <c r="C9" s="4" t="s">
        <v>215</v>
      </c>
      <c r="D9" s="4" t="s">
        <v>205</v>
      </c>
      <c r="E9" s="34">
        <v>1</v>
      </c>
      <c r="F9" s="34">
        <v>0</v>
      </c>
      <c r="G9" s="34">
        <v>0</v>
      </c>
      <c r="H9" s="10" t="s">
        <v>206</v>
      </c>
    </row>
    <row r="10" spans="1:21" ht="15.75" customHeight="1">
      <c r="A10" s="4">
        <v>8</v>
      </c>
      <c r="B10" s="4" t="s">
        <v>217</v>
      </c>
      <c r="C10" s="4" t="s">
        <v>215</v>
      </c>
      <c r="D10" s="4" t="s">
        <v>205</v>
      </c>
      <c r="E10" s="34">
        <v>0</v>
      </c>
      <c r="F10" s="34">
        <v>0</v>
      </c>
      <c r="G10" s="34">
        <v>0</v>
      </c>
      <c r="H10" s="10" t="s">
        <v>206</v>
      </c>
    </row>
    <row r="11" spans="1:21" ht="15.75" customHeight="1">
      <c r="A11" s="2">
        <v>9</v>
      </c>
      <c r="B11" s="4" t="s">
        <v>218</v>
      </c>
      <c r="C11" s="4" t="s">
        <v>215</v>
      </c>
      <c r="D11" s="4" t="s">
        <v>205</v>
      </c>
      <c r="E11" s="34">
        <v>1</v>
      </c>
      <c r="F11" s="34">
        <v>0</v>
      </c>
      <c r="G11" s="34">
        <v>0</v>
      </c>
      <c r="H11" s="10" t="s">
        <v>206</v>
      </c>
    </row>
    <row r="12" spans="1:21" ht="15.75" customHeight="1">
      <c r="A12" s="4">
        <v>10</v>
      </c>
      <c r="B12" s="2" t="s">
        <v>219</v>
      </c>
      <c r="C12" s="2" t="s">
        <v>208</v>
      </c>
      <c r="D12" s="2" t="s">
        <v>205</v>
      </c>
      <c r="E12" s="13">
        <v>0.8</v>
      </c>
      <c r="F12" s="13">
        <v>0</v>
      </c>
      <c r="G12" s="13">
        <v>0</v>
      </c>
      <c r="H12" s="10" t="s">
        <v>206</v>
      </c>
    </row>
    <row r="13" spans="1:21" ht="15.75" customHeight="1">
      <c r="A13" s="2">
        <v>11</v>
      </c>
      <c r="B13" s="4" t="s">
        <v>220</v>
      </c>
      <c r="C13" s="4" t="s">
        <v>221</v>
      </c>
      <c r="D13" s="4" t="s">
        <v>205</v>
      </c>
      <c r="E13" s="34">
        <v>1</v>
      </c>
      <c r="F13" s="34" t="s">
        <v>222</v>
      </c>
      <c r="G13" s="34">
        <v>0.15</v>
      </c>
      <c r="H13" s="10" t="s">
        <v>206</v>
      </c>
    </row>
    <row r="14" spans="1:21">
      <c r="A14" s="4">
        <v>12</v>
      </c>
      <c r="B14" s="39" t="s">
        <v>223</v>
      </c>
      <c r="C14" s="39" t="s">
        <v>224</v>
      </c>
      <c r="D14" s="39" t="s">
        <v>205</v>
      </c>
      <c r="E14" s="40">
        <v>1</v>
      </c>
      <c r="F14" s="39" t="s">
        <v>222</v>
      </c>
      <c r="G14" s="42">
        <v>0.4</v>
      </c>
      <c r="H14" s="10" t="s">
        <v>206</v>
      </c>
      <c r="S14" s="31"/>
      <c r="T14" s="31"/>
      <c r="U14" s="31"/>
    </row>
    <row r="15" spans="1:21">
      <c r="A15" s="2">
        <v>13</v>
      </c>
      <c r="B15" s="41" t="s">
        <v>225</v>
      </c>
      <c r="C15" s="41" t="s">
        <v>182</v>
      </c>
      <c r="D15" s="41" t="s">
        <v>205</v>
      </c>
      <c r="E15" s="42">
        <v>1</v>
      </c>
      <c r="F15" s="42" t="s">
        <v>222</v>
      </c>
      <c r="G15" s="42">
        <v>0</v>
      </c>
      <c r="H15" s="10" t="s">
        <v>206</v>
      </c>
      <c r="S15" s="31"/>
      <c r="T15" s="31"/>
      <c r="U15" s="31"/>
    </row>
    <row r="16" spans="1:21">
      <c r="S16" s="31"/>
      <c r="T16" s="31"/>
      <c r="U16" s="31"/>
    </row>
    <row r="17" spans="19:21">
      <c r="S17" s="31"/>
      <c r="T17" s="31"/>
      <c r="U17" s="31"/>
    </row>
    <row r="18" spans="19:21">
      <c r="S18" s="31"/>
      <c r="T18" s="31"/>
      <c r="U18" s="31"/>
    </row>
    <row r="19" spans="19:21">
      <c r="S19" s="31"/>
      <c r="T19" s="31"/>
      <c r="U19" s="31"/>
    </row>
    <row r="20" spans="19:21">
      <c r="T20" s="31"/>
      <c r="U20" s="31"/>
    </row>
    <row r="21" spans="19:21">
      <c r="S21" s="31"/>
      <c r="U21" s="31"/>
    </row>
    <row r="22" spans="19:21">
      <c r="S22" s="30"/>
    </row>
    <row r="23" spans="19:21">
      <c r="S23" s="30"/>
    </row>
    <row r="24" spans="19:21">
      <c r="S24" s="30"/>
    </row>
    <row r="25" spans="19:21">
      <c r="S25" s="30"/>
    </row>
    <row r="26" spans="19:21">
      <c r="S26" s="30"/>
    </row>
    <row r="27" spans="19:21">
      <c r="S27" s="30"/>
    </row>
    <row r="28" spans="19:21">
      <c r="S28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/>
  <cols>
    <col min="1" max="1" width="30" customWidth="1"/>
    <col min="2" max="2" width="50" customWidth="1"/>
  </cols>
  <sheetData>
    <row r="1" spans="1:8" ht="21.75" customHeight="1">
      <c r="A1" s="43" t="s">
        <v>226</v>
      </c>
      <c r="B1" s="43"/>
      <c r="C1" s="43"/>
      <c r="D1" s="43"/>
      <c r="E1" s="43"/>
      <c r="F1" s="43"/>
      <c r="G1" s="43"/>
      <c r="H1" s="43"/>
    </row>
    <row r="2" spans="1:8" ht="18" customHeight="1">
      <c r="A2" s="1" t="s">
        <v>1</v>
      </c>
      <c r="B2" s="1" t="s">
        <v>2</v>
      </c>
    </row>
    <row r="3" spans="1:8" ht="15.75" customHeight="1">
      <c r="A3" s="2" t="s">
        <v>227</v>
      </c>
      <c r="B3" s="3" t="s">
        <v>228</v>
      </c>
    </row>
    <row r="4" spans="1:8" ht="15.75" customHeight="1">
      <c r="A4" s="4" t="s">
        <v>229</v>
      </c>
      <c r="B4" s="12">
        <v>46176</v>
      </c>
    </row>
    <row r="5" spans="1:8" ht="15.75" customHeight="1">
      <c r="A5" s="2" t="s">
        <v>230</v>
      </c>
      <c r="B5" s="3" t="s">
        <v>231</v>
      </c>
    </row>
    <row r="6" spans="1:8" ht="15.75" customHeight="1">
      <c r="A6" s="4" t="s">
        <v>232</v>
      </c>
      <c r="B6" s="3" t="s">
        <v>233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Guest User</cp:lastModifiedBy>
  <cp:revision>0</cp:revision>
  <dcterms:created xsi:type="dcterms:W3CDTF">2026-06-05T19:34:15Z</dcterms:created>
  <dcterms:modified xsi:type="dcterms:W3CDTF">2026-06-21T12:42:28Z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