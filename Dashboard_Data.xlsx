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lfanargroup-my.sharepoint.com/personal/ahmed_abdelzaher_alfanar_com/Documents/SDCC Dashboard/"/>
    </mc:Choice>
  </mc:AlternateContent>
  <xr:revisionPtr revIDLastSave="236" documentId="14_{682A7E4B-1055-4B0F-805D-134F59E89DE5}" xr6:coauthVersionLast="47" xr6:coauthVersionMax="47" xr10:uidLastSave="{3D90A536-7096-4170-A405-93798882EF3C}"/>
  <bookViews>
    <workbookView xWindow="-120" yWindow="-120" windowWidth="29040" windowHeight="17520" tabRatio="500" firstSheet="5" activeTab="5" xr2:uid="{00000000-000D-0000-FFFF-FFFF00000000}"/>
  </bookViews>
  <sheets>
    <sheet name="Header" sheetId="1" r:id="rId1"/>
    <sheet name="General_Info" sheetId="2" r:id="rId2"/>
    <sheet name="Commercial_Info" sheetId="3" r:id="rId3"/>
    <sheet name="Budgetary_Info" sheetId="4" r:id="rId4"/>
    <sheet name="Collection_Info" sheetId="5" r:id="rId5"/>
    <sheet name="Cash_Flow" sheetId="6" r:id="rId6"/>
    <sheet name="Manpower" sheetId="7" r:id="rId7"/>
    <sheet name="Project_Phases" sheetId="8" r:id="rId8"/>
    <sheet name="City_Progress" sheetId="9" r:id="rId9"/>
    <sheet name="Timeline" sheetId="10" r:id="rId10"/>
    <sheet name="Major_Issues" sheetId="11" r:id="rId11"/>
    <sheet name="Equipment_Status" sheetId="12" r:id="rId12"/>
    <sheet name="Footer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" i="6" l="1"/>
  <c r="C5" i="6"/>
  <c r="B7" i="7"/>
  <c r="B4" i="7"/>
  <c r="C7" i="5"/>
  <c r="C5" i="5"/>
  <c r="C4" i="5"/>
  <c r="B8" i="5" s="1"/>
  <c r="C3" i="5"/>
  <c r="B9" i="4"/>
  <c r="C9" i="3"/>
  <c r="D7" i="9" l="1"/>
  <c r="D6" i="9"/>
  <c r="D5" i="9"/>
  <c r="D4" i="9"/>
  <c r="D3" i="9"/>
  <c r="D8" i="8"/>
  <c r="D7" i="8"/>
  <c r="D6" i="8"/>
  <c r="D5" i="8"/>
  <c r="D4" i="8"/>
  <c r="D3" i="8"/>
  <c r="B17" i="7"/>
  <c r="B21" i="7" s="1"/>
  <c r="B16" i="7"/>
  <c r="B19" i="7" s="1"/>
  <c r="B20" i="7" l="1"/>
  <c r="B18" i="7"/>
</calcChain>
</file>

<file path=xl/sharedStrings.xml><?xml version="1.0" encoding="utf-8"?>
<sst xmlns="http://schemas.openxmlformats.org/spreadsheetml/2006/main" count="341" uniqueCount="211">
  <si>
    <t>HEADER — Dashboard Title &amp; PM</t>
  </si>
  <si>
    <t>Field</t>
  </si>
  <si>
    <t>Value</t>
  </si>
  <si>
    <t>Dashboard Title</t>
  </si>
  <si>
    <t>Project Code</t>
  </si>
  <si>
    <t>PE-286</t>
  </si>
  <si>
    <t>Region</t>
  </si>
  <si>
    <t>Project Manager</t>
  </si>
  <si>
    <t>Hany Kamal</t>
  </si>
  <si>
    <t>GENERAL INFO — Key Project Dates</t>
  </si>
  <si>
    <t>Date</t>
  </si>
  <si>
    <t>Notes</t>
  </si>
  <si>
    <t>Contract Sign Date</t>
  </si>
  <si>
    <t>Madinah Handover</t>
  </si>
  <si>
    <t>Abha Handover</t>
  </si>
  <si>
    <t>Jizan Handover</t>
  </si>
  <si>
    <t>Jeddah / Makkah HO</t>
  </si>
  <si>
    <t>Contractual TCC</t>
  </si>
  <si>
    <t>24-Jul-26</t>
  </si>
  <si>
    <t>Highlighted orange in dashboard</t>
  </si>
  <si>
    <t>Expected TCC</t>
  </si>
  <si>
    <t>Highlighted red in dashboard — delayed</t>
  </si>
  <si>
    <t>COMMERCIAL INFO (SAR)</t>
  </si>
  <si>
    <t>Value (SAR)</t>
  </si>
  <si>
    <t>Tag / Badge</t>
  </si>
  <si>
    <t>Org. Contract Value</t>
  </si>
  <si>
    <t>Cont. Adv. Payment</t>
  </si>
  <si>
    <t>Change Orders</t>
  </si>
  <si>
    <t>Sub. Cost Claim</t>
  </si>
  <si>
    <t>Expected Cont. Value</t>
  </si>
  <si>
    <t>Equals Org. Contract Value + Change Orders</t>
  </si>
  <si>
    <t>Org. Contingency</t>
  </si>
  <si>
    <t>Rem. Contingency</t>
  </si>
  <si>
    <t>Badge shown in amber/red in dashboard</t>
  </si>
  <si>
    <t>BUDGETARY INFO</t>
  </si>
  <si>
    <t>Rev. Budget Amount</t>
  </si>
  <si>
    <t>SAR</t>
  </si>
  <si>
    <t>Target POC 2026</t>
  </si>
  <si>
    <t>100%</t>
  </si>
  <si>
    <t>Percentage</t>
  </si>
  <si>
    <t>Actual POC Till Date</t>
  </si>
  <si>
    <t>Red in dashboard; badge shows gap vs target</t>
  </si>
  <si>
    <t>Contingency Used</t>
  </si>
  <si>
    <t>Amber in dashboard</t>
  </si>
  <si>
    <t>EOT Status</t>
  </si>
  <si>
    <t>Red in dashboard</t>
  </si>
  <si>
    <t>COLLECTION INFO (SAR)</t>
  </si>
  <si>
    <t>Tag %</t>
  </si>
  <si>
    <t>Color in Dashboard</t>
  </si>
  <si>
    <t>Invoiceable Amount</t>
  </si>
  <si>
    <t>Green</t>
  </si>
  <si>
    <t>Submitted Invoices</t>
  </si>
  <si>
    <t>Amber</t>
  </si>
  <si>
    <t>Approved Invoices</t>
  </si>
  <si>
    <t>Collected Adv.</t>
  </si>
  <si>
    <t>Normal</t>
  </si>
  <si>
    <t>Col. Amount Inc Adv</t>
  </si>
  <si>
    <t>Text field — shown as-is</t>
  </si>
  <si>
    <t>CASH FLOW STATUS (SAR Millions)</t>
  </si>
  <si>
    <t>Value (SAR M)</t>
  </si>
  <si>
    <t>Bar Width %</t>
  </si>
  <si>
    <t>Net Cash Position</t>
  </si>
  <si>
    <t>Shown as hero figure; red background</t>
  </si>
  <si>
    <t>Hero Sub-label</t>
  </si>
  <si>
    <t>Outflow exceeds inflow · negative position</t>
  </si>
  <si>
    <t>Descriptive text under the big number</t>
  </si>
  <si>
    <t>Cash In</t>
  </si>
  <si>
    <t>Green bar; relative to Cash Out (max)</t>
  </si>
  <si>
    <t>Cash Out</t>
  </si>
  <si>
    <t>Orange bar; this is the 100% reference</t>
  </si>
  <si>
    <t>MANPOWER STATUS</t>
  </si>
  <si>
    <t>A — Totals</t>
  </si>
  <si>
    <t>Total Manpower</t>
  </si>
  <si>
    <t>Hero figure — orange background</t>
  </si>
  <si>
    <t>Direct Labor</t>
  </si>
  <si>
    <t>Green segment in donut</t>
  </si>
  <si>
    <t>Indirect</t>
  </si>
  <si>
    <t>Orange segment in donut</t>
  </si>
  <si>
    <t>Direct Share %</t>
  </si>
  <si>
    <t>Shown as green text</t>
  </si>
  <si>
    <t>B — Direct Labor Breakdown</t>
  </si>
  <si>
    <t>Category</t>
  </si>
  <si>
    <t>Count</t>
  </si>
  <si>
    <t>ALF (Alfanar direct)</t>
  </si>
  <si>
    <t>Shown as sub-label under Direct Labor</t>
  </si>
  <si>
    <t>SC (Subcontractor)</t>
  </si>
  <si>
    <t>C — Donut Chart SVG Parameters (auto-calculated from counts above)</t>
  </si>
  <si>
    <t>Parameter</t>
  </si>
  <si>
    <t>Formula / Notes</t>
  </si>
  <si>
    <t>Direct % of Total</t>
  </si>
  <si>
    <t>e.g. 79.6  → used for green arc dasharray</t>
  </si>
  <si>
    <t>Indirect % of Total</t>
  </si>
  <si>
    <t>e.g. 20.4  → used for orange arc dasharray</t>
  </si>
  <si>
    <t>Green arc dasharray part1</t>
  </si>
  <si>
    <t>stroke-dasharray first value (green)</t>
  </si>
  <si>
    <t>Green arc dasharray part2</t>
  </si>
  <si>
    <t>stroke-dasharray second value (green)</t>
  </si>
  <si>
    <t>Orange arc dasharray part1</t>
  </si>
  <si>
    <t>stroke-dasharray first value (orange)</t>
  </si>
  <si>
    <t>Orange arc dasharray part2</t>
  </si>
  <si>
    <t>stroke-dasharray second value (orange)</t>
  </si>
  <si>
    <t>PROJECT PHASES — Plan vs Actual (%)</t>
  </si>
  <si>
    <t>Phase</t>
  </si>
  <si>
    <t>Plan %</t>
  </si>
  <si>
    <t>Actual %</t>
  </si>
  <si>
    <t>Delta</t>
  </si>
  <si>
    <t>Delta Color</t>
  </si>
  <si>
    <t>Overall</t>
  </si>
  <si>
    <t>warn</t>
  </si>
  <si>
    <t>Red badge</t>
  </si>
  <si>
    <t>Engineering</t>
  </si>
  <si>
    <t>good</t>
  </si>
  <si>
    <t>Green badge</t>
  </si>
  <si>
    <t>Equipment</t>
  </si>
  <si>
    <t>mild</t>
  </si>
  <si>
    <t>Amber badge</t>
  </si>
  <si>
    <t>Construction</t>
  </si>
  <si>
    <t>Installation</t>
  </si>
  <si>
    <t>Testing &amp; Commissioning</t>
  </si>
  <si>
    <t>Red badge; actual bar uses tiny style</t>
  </si>
  <si>
    <t>PROGRESS PER CITY — Plan vs Actual (%)</t>
  </si>
  <si>
    <t>City</t>
  </si>
  <si>
    <t>Madinah</t>
  </si>
  <si>
    <t>Abha</t>
  </si>
  <si>
    <t>Jizan</t>
  </si>
  <si>
    <t>Trails plan the most</t>
  </si>
  <si>
    <t>Jeddah</t>
  </si>
  <si>
    <t>Makkah</t>
  </si>
  <si>
    <t>Leads on actual completion</t>
  </si>
  <si>
    <t>Footer Note (italic text shown below chart)</t>
  </si>
  <si>
    <t>PROJECTS TIMELINE — Monthly Milestones</t>
  </si>
  <si>
    <t>Month Label</t>
  </si>
  <si>
    <t>Has Milestone</t>
  </si>
  <si>
    <t>Milestone Text</t>
  </si>
  <si>
    <t>Flag Position</t>
  </si>
  <si>
    <t>Is TCC Cell</t>
  </si>
  <si>
    <t>TCC Box Label</t>
  </si>
  <si>
    <t>TCC Box Date</t>
  </si>
  <si>
    <t>YES</t>
  </si>
  <si>
    <t>Project Start</t>
  </si>
  <si>
    <t>above</t>
  </si>
  <si>
    <t>NO</t>
  </si>
  <si>
    <t>First month</t>
  </si>
  <si>
    <t>MADINAH P.C.</t>
  </si>
  <si>
    <t>ABHA P.C.</t>
  </si>
  <si>
    <t>below</t>
  </si>
  <si>
    <t>Flag goes below bar</t>
  </si>
  <si>
    <t>JIZAN P.C.</t>
  </si>
  <si>
    <t>Orange cell</t>
  </si>
  <si>
    <t>Revised TCC</t>
  </si>
  <si>
    <t>Red cell</t>
  </si>
  <si>
    <t>MAJOR ISSUES STATUS</t>
  </si>
  <si>
    <t>#</t>
  </si>
  <si>
    <t>Issue Description</t>
  </si>
  <si>
    <t>Trade</t>
  </si>
  <si>
    <t>Entity</t>
  </si>
  <si>
    <t>Required Action</t>
  </si>
  <si>
    <t>Priority</t>
  </si>
  <si>
    <t>EQUIPMENT STATUS</t>
  </si>
  <si>
    <t>Vendor</t>
  </si>
  <si>
    <t>PO</t>
  </si>
  <si>
    <t>GAFM</t>
  </si>
  <si>
    <t>FAT</t>
  </si>
  <si>
    <t>Delivery</t>
  </si>
  <si>
    <t>Status</t>
  </si>
  <si>
    <t>Issued</t>
  </si>
  <si>
    <t>OK</t>
  </si>
  <si>
    <t>FOOTER — Classification &amp; Branding</t>
  </si>
  <si>
    <t>Classification</t>
  </si>
  <si>
    <t>Public</t>
  </si>
  <si>
    <t>Prepared Date</t>
  </si>
  <si>
    <t>Department</t>
  </si>
  <si>
    <t>Brand Name</t>
  </si>
  <si>
    <t>alfanar</t>
  </si>
  <si>
    <t>WESTERN &amp; SOUTHERN REGION SDCC PROJECT DASHBOARD | PE-286</t>
  </si>
  <si>
    <t>Western &amp; SOUTHERN Region</t>
  </si>
  <si>
    <t>Submitted</t>
  </si>
  <si>
    <t>Billing vs Actual POC</t>
  </si>
  <si>
    <t>Planned POC</t>
  </si>
  <si>
    <t>MAD&amp; ABH Structur Completed</t>
  </si>
  <si>
    <t>Jizan Structure Completed</t>
  </si>
  <si>
    <t>CET Equip. Delivery</t>
  </si>
  <si>
    <t>High</t>
  </si>
  <si>
    <t>Supplier (Digital Era)</t>
  </si>
  <si>
    <t>Procurement</t>
  </si>
  <si>
    <t>SE</t>
  </si>
  <si>
    <t>Engineering / Procurement</t>
  </si>
  <si>
    <t>Delay Delivery of Low Current 3rd Fix Materials</t>
  </si>
  <si>
    <t>PM to arrange a meeting with supplier top management to enhance the current delivery forecast dates to meet the TCC contractual date.</t>
  </si>
  <si>
    <t>Delay Approval of Jockey Pumps (Fire Pumps Package)</t>
  </si>
  <si>
    <t>SE to expedite the approval of Jockey Pumps to start manufacturing of materials and fulfill the supplied flow USA.</t>
  </si>
  <si>
    <t>Delay Approval of LAN/WAN (M6 Routers) Which Fulfill Contract Requirements</t>
  </si>
  <si>
    <t>Delay Delivery of DWDM (PO Issued to AES) – Waiting for Final Confirmation of Recent Traffic Plan</t>
  </si>
  <si>
    <t>SE to expedite providing the confirmed recent traffic plan to start manufacturing materials of DWDM.</t>
  </si>
  <si>
    <t>Approved design is to use (M14 routers), delivery duration 20–24 weeks.SE to approve Alfanar proposal to deliver (M6 routers) which have a delivery duration of 6–8 weeks.</t>
  </si>
  <si>
    <t>48 VDC System</t>
  </si>
  <si>
    <t>ADMS/DERMS Servers</t>
  </si>
  <si>
    <t>CET</t>
  </si>
  <si>
    <t>CRAC / PACU Units</t>
  </si>
  <si>
    <t>Zamil</t>
  </si>
  <si>
    <t>FM-200 Cylinders</t>
  </si>
  <si>
    <t>DDC Panels</t>
  </si>
  <si>
    <t>Marine</t>
  </si>
  <si>
    <t>AC/DC Panels</t>
  </si>
  <si>
    <t>AES</t>
  </si>
  <si>
    <t>Delayed</t>
  </si>
  <si>
    <t>Fire Pumps</t>
  </si>
  <si>
    <t>Security System</t>
  </si>
  <si>
    <t>ITC</t>
  </si>
  <si>
    <t>N/A</t>
  </si>
  <si>
    <t>Control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</si>
</sst>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0.0"/>
  </numFmts>
  <fonts count="8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1B2733"/>
      <name val="Arial"/>
      <family val="2"/>
    </font>
    <font>
      <b/>
      <sz val="10"/>
      <color rgb="FFC0181D"/>
      <name val="Arial"/>
      <family val="2"/>
    </font>
    <font>
      <sz val="9"/>
      <color rgb="FF6C7C8C"/>
      <name val="Arial"/>
      <family val="2"/>
    </font>
    <font>
      <sz val="11"/>
      <color theme="1"/>
      <name val="Calibri"/>
      <family val="2"/>
      <charset val="1"/>
    </font>
    <font>
      <sz val="8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0E2A4D"/>
        <bgColor rgb="FF1B2733"/>
      </patternFill>
    </fill>
    <fill>
      <patternFill patternType="solid">
        <fgColor rgb="FFE87722"/>
        <bgColor rgb="FFC85F10"/>
      </patternFill>
    </fill>
    <fill>
      <patternFill patternType="solid">
        <fgColor rgb="FFFFFFFF"/>
        <bgColor rgb="FFEEF3F9"/>
      </patternFill>
    </fill>
    <fill>
      <patternFill patternType="solid">
        <fgColor rgb="FFFFF2CC"/>
        <bgColor rgb="FFEEF3F9"/>
      </patternFill>
    </fill>
    <fill>
      <patternFill patternType="solid">
        <fgColor rgb="FFEEF3F9"/>
        <bgColor rgb="FFFFFFFF"/>
      </patternFill>
    </fill>
    <fill>
      <patternFill patternType="solid">
        <fgColor rgb="FFF9D5A0"/>
        <bgColor rgb="FFFADBD8"/>
      </patternFill>
    </fill>
    <fill>
      <patternFill patternType="solid">
        <fgColor rgb="FFFADBD8"/>
        <bgColor rgb="FFFFF2CC"/>
      </patternFill>
    </fill>
    <fill>
      <patternFill patternType="solid">
        <fgColor rgb="FFC0181D"/>
        <bgColor rgb="FF993366"/>
      </patternFill>
    </fill>
    <fill>
      <patternFill patternType="solid">
        <fgColor rgb="FF1F8F3D"/>
        <bgColor rgb="FF00800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3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/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5" fontId="3" fillId="5" borderId="1" xfId="0" applyNumberFormat="1" applyFont="1" applyFill="1" applyBorder="1" applyAlignment="1">
      <alignment horizontal="left" vertical="center" wrapText="1"/>
    </xf>
    <xf numFmtId="9" fontId="3" fillId="4" borderId="1" xfId="2" applyFont="1" applyFill="1" applyBorder="1" applyAlignment="1">
      <alignment horizontal="left" vertical="center" wrapText="1"/>
    </xf>
    <xf numFmtId="43" fontId="3" fillId="5" borderId="1" xfId="1" applyFont="1" applyFill="1" applyBorder="1" applyAlignment="1">
      <alignment horizontal="left" vertical="center" wrapText="1"/>
    </xf>
    <xf numFmtId="43" fontId="3" fillId="5" borderId="1" xfId="1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wrapText="1"/>
    </xf>
    <xf numFmtId="43" fontId="3" fillId="5" borderId="1" xfId="1" applyFont="1" applyFill="1" applyBorder="1" applyAlignment="1">
      <alignment horizontal="center" wrapText="1"/>
    </xf>
    <xf numFmtId="9" fontId="3" fillId="5" borderId="1" xfId="2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9" fontId="3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0" xfId="2" applyFont="1"/>
    <xf numFmtId="9" fontId="3" fillId="5" borderId="1" xfId="2" applyFont="1" applyFill="1" applyBorder="1" applyAlignment="1">
      <alignment horizontal="left" vertical="center" wrapText="1"/>
    </xf>
    <xf numFmtId="10" fontId="3" fillId="5" borderId="1" xfId="2" applyNumberFormat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left" vertical="center" wrapText="1"/>
    </xf>
    <xf numFmtId="165" fontId="3" fillId="6" borderId="1" xfId="0" applyNumberFormat="1" applyFont="1" applyFill="1" applyBorder="1" applyAlignment="1">
      <alignment horizontal="left" vertical="center" wrapText="1"/>
    </xf>
    <xf numFmtId="15" fontId="3" fillId="8" borderId="1" xfId="0" applyNumberFormat="1" applyFont="1" applyFill="1" applyBorder="1" applyAlignment="1">
      <alignment horizontal="left" vertical="center" wrapText="1"/>
    </xf>
    <xf numFmtId="15" fontId="0" fillId="0" borderId="0" xfId="0" applyNumberFormat="1"/>
    <xf numFmtId="9" fontId="0" fillId="0" borderId="0" xfId="0" applyNumberFormat="1"/>
    <xf numFmtId="17" fontId="3" fillId="4" borderId="1" xfId="0" applyNumberFormat="1" applyFont="1" applyFill="1" applyBorder="1" applyAlignment="1">
      <alignment horizontal="center" vertical="center" wrapText="1"/>
    </xf>
    <xf numFmtId="17" fontId="3" fillId="6" borderId="1" xfId="0" applyNumberFormat="1" applyFont="1" applyFill="1" applyBorder="1" applyAlignment="1">
      <alignment horizontal="center" vertical="center" wrapText="1"/>
    </xf>
    <xf numFmtId="9" fontId="3" fillId="6" borderId="1" xfId="2" applyFont="1" applyFill="1" applyBorder="1" applyAlignment="1">
      <alignment horizontal="left" vertical="center" wrapText="1"/>
    </xf>
    <xf numFmtId="165" fontId="3" fillId="5" borderId="1" xfId="0" applyNumberFormat="1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85F10"/>
      <rgbColor rgb="FF800080"/>
      <rgbColor rgb="FF008080"/>
      <rgbColor rgb="FFC0C0C0"/>
      <rgbColor rgb="FF888888"/>
      <rgbColor rgb="FF9999FF"/>
      <rgbColor rgb="FF993366"/>
      <rgbColor rgb="FFFFF2CC"/>
      <rgbColor rgb="FFEEF3F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ADBD8"/>
      <rgbColor rgb="FF99CCFF"/>
      <rgbColor rgb="FFFF99CC"/>
      <rgbColor rgb="FFCC99FF"/>
      <rgbColor rgb="FFF9D5A0"/>
      <rgbColor rgb="FF3366FF"/>
      <rgbColor rgb="FF33CCCC"/>
      <rgbColor rgb="FF99CC00"/>
      <rgbColor rgb="FFFFCC00"/>
      <rgbColor rgb="FFFF9900"/>
      <rgbColor rgb="FFE87722"/>
      <rgbColor rgb="FF6C7C8C"/>
      <rgbColor rgb="FFAAAAAA"/>
      <rgbColor rgb="FF0E2A4D"/>
      <rgbColor rgb="FF1F8F3D"/>
      <rgbColor rgb="FF003300"/>
      <rgbColor rgb="FF333300"/>
      <rgbColor rgb="FFC0181D"/>
      <rgbColor rgb="FF993366"/>
      <rgbColor rgb="FF333399"/>
      <rgbColor rgb="FF1B27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87722"/>
  </sheetPr>
  <dimension ref="A1:H6"/>
  <sheetViews>
    <sheetView zoomScale="115" zoomScaleNormal="115" workbookViewId="0">
      <pane ySplit="2" topLeftCell="A3" activePane="bottomLeft" state="frozen"/>
      <selection pane="bottomLeft" activeCell="B6" sqref="B6"/>
    </sheetView>
  </sheetViews>
  <sheetFormatPr defaultColWidth="8.7109375" defaultRowHeight="15" x14ac:dyDescent="0.25"/>
  <cols>
    <col min="1" max="1" width="30" customWidth="1"/>
    <col min="2" max="2" width="40" customWidth="1"/>
  </cols>
  <sheetData>
    <row r="1" spans="1:8" ht="21.75" customHeight="1" x14ac:dyDescent="0.25">
      <c r="A1" s="36" t="s">
        <v>0</v>
      </c>
      <c r="B1" s="36"/>
      <c r="C1" s="36"/>
      <c r="D1" s="36"/>
      <c r="E1" s="36"/>
      <c r="F1" s="36"/>
      <c r="G1" s="36"/>
      <c r="H1" s="36"/>
    </row>
    <row r="2" spans="1:8" ht="18" customHeight="1" x14ac:dyDescent="0.25">
      <c r="A2" s="1" t="s">
        <v>1</v>
      </c>
      <c r="B2" s="1" t="s">
        <v>2</v>
      </c>
    </row>
    <row r="3" spans="1:8" ht="25.5" x14ac:dyDescent="0.25">
      <c r="A3" s="2" t="s">
        <v>3</v>
      </c>
      <c r="B3" s="3" t="s">
        <v>174</v>
      </c>
    </row>
    <row r="4" spans="1:8" x14ac:dyDescent="0.25">
      <c r="A4" s="4" t="s">
        <v>4</v>
      </c>
      <c r="B4" s="3" t="s">
        <v>5</v>
      </c>
    </row>
    <row r="5" spans="1:8" x14ac:dyDescent="0.25">
      <c r="A5" s="2" t="s">
        <v>6</v>
      </c>
      <c r="B5" s="3" t="s">
        <v>175</v>
      </c>
    </row>
    <row r="6" spans="1:8" x14ac:dyDescent="0.25">
      <c r="A6" s="4" t="s">
        <v>7</v>
      </c>
      <c r="B6" s="3" t="s">
        <v>8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&amp;C_x000D_&amp;1#&amp;"Aptos"&amp;10&amp;K0000FF CLASSIFICATION: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87722"/>
  </sheetPr>
  <dimension ref="A1:H9"/>
  <sheetViews>
    <sheetView zoomScaleNormal="100" workbookViewId="0">
      <pane ySplit="2" topLeftCell="A3" activePane="bottomLeft" state="frozen"/>
      <selection pane="bottomLeft" activeCell="A6" sqref="A6"/>
    </sheetView>
  </sheetViews>
  <sheetFormatPr defaultColWidth="8.7109375" defaultRowHeight="15" x14ac:dyDescent="0.25"/>
  <cols>
    <col min="1" max="1" width="32" customWidth="1"/>
    <col min="2" max="2" width="18" customWidth="1"/>
    <col min="3" max="3" width="40" customWidth="1"/>
  </cols>
  <sheetData>
    <row r="1" spans="1:8" ht="21.75" customHeight="1" x14ac:dyDescent="0.25">
      <c r="A1" s="36" t="s">
        <v>9</v>
      </c>
      <c r="B1" s="36"/>
      <c r="C1" s="36"/>
      <c r="D1" s="36"/>
      <c r="E1" s="36"/>
      <c r="F1" s="36"/>
      <c r="G1" s="36"/>
      <c r="H1" s="36"/>
    </row>
    <row r="2" spans="1:8" ht="18" customHeight="1" x14ac:dyDescent="0.25">
      <c r="A2" s="1" t="s">
        <v>1</v>
      </c>
      <c r="B2" s="1" t="s">
        <v>10</v>
      </c>
      <c r="C2" s="1" t="s">
        <v>11</v>
      </c>
    </row>
    <row r="3" spans="1:8" ht="15.75" customHeight="1" x14ac:dyDescent="0.25">
      <c r="A3" s="2" t="s">
        <v>12</v>
      </c>
      <c r="B3" s="16">
        <v>45497</v>
      </c>
      <c r="C3" s="2"/>
    </row>
    <row r="4" spans="1:8" ht="15.75" customHeight="1" x14ac:dyDescent="0.25">
      <c r="A4" s="4" t="s">
        <v>13</v>
      </c>
      <c r="B4" s="16">
        <v>45530</v>
      </c>
      <c r="C4" s="4"/>
    </row>
    <row r="5" spans="1:8" ht="15.75" customHeight="1" x14ac:dyDescent="0.25">
      <c r="A5" s="2" t="s">
        <v>14</v>
      </c>
      <c r="B5" s="16">
        <v>45571</v>
      </c>
      <c r="C5" s="2"/>
    </row>
    <row r="6" spans="1:8" ht="15.75" customHeight="1" x14ac:dyDescent="0.25">
      <c r="A6" s="4" t="s">
        <v>15</v>
      </c>
      <c r="B6" s="16">
        <v>45718</v>
      </c>
      <c r="C6" s="4"/>
    </row>
    <row r="7" spans="1:8" ht="15.75" customHeight="1" x14ac:dyDescent="0.25">
      <c r="A7" s="2" t="s">
        <v>16</v>
      </c>
      <c r="B7" s="16">
        <v>45830</v>
      </c>
      <c r="C7" s="2"/>
    </row>
    <row r="8" spans="1:8" ht="15.75" customHeight="1" x14ac:dyDescent="0.25">
      <c r="A8" s="4" t="s">
        <v>17</v>
      </c>
      <c r="B8" s="16">
        <v>46227</v>
      </c>
      <c r="C8" s="4" t="s">
        <v>19</v>
      </c>
    </row>
    <row r="9" spans="1:8" ht="15.75" customHeight="1" x14ac:dyDescent="0.25">
      <c r="A9" s="2" t="s">
        <v>20</v>
      </c>
      <c r="B9" s="16">
        <v>46435</v>
      </c>
      <c r="C9" s="2" t="s">
        <v>21</v>
      </c>
    </row>
  </sheetData>
  <mergeCells count="1">
    <mergeCell ref="A1:H1"/>
  </mergeCells>
  <phoneticPr fontId="7" type="noConversion"/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&amp;C_x000D_&amp;1#&amp;"Aptos"&amp;10&amp;K0000FF CLASSIFICATION: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87722"/>
  </sheetPr>
  <dimension ref="A1:H9"/>
  <sheetViews>
    <sheetView zoomScaleNormal="100" workbookViewId="0">
      <pane ySplit="2" topLeftCell="A3" activePane="bottomLeft" state="frozen"/>
      <selection pane="bottomLeft" activeCell="B6" sqref="B6"/>
    </sheetView>
  </sheetViews>
  <sheetFormatPr defaultColWidth="8.7109375" defaultRowHeight="15" x14ac:dyDescent="0.25"/>
  <cols>
    <col min="1" max="1" width="32" customWidth="1"/>
    <col min="2" max="2" width="22" customWidth="1"/>
    <col min="3" max="3" width="14" customWidth="1"/>
    <col min="4" max="4" width="40" customWidth="1"/>
  </cols>
  <sheetData>
    <row r="1" spans="1:8" ht="21.75" customHeight="1" x14ac:dyDescent="0.25">
      <c r="A1" s="36" t="s">
        <v>22</v>
      </c>
      <c r="B1" s="36"/>
      <c r="C1" s="36"/>
      <c r="D1" s="36"/>
      <c r="E1" s="36"/>
      <c r="F1" s="36"/>
      <c r="G1" s="36"/>
      <c r="H1" s="36"/>
    </row>
    <row r="2" spans="1:8" ht="18" customHeight="1" x14ac:dyDescent="0.25">
      <c r="A2" s="1" t="s">
        <v>1</v>
      </c>
      <c r="B2" s="1" t="s">
        <v>23</v>
      </c>
      <c r="C2" s="1" t="s">
        <v>24</v>
      </c>
      <c r="D2" s="1" t="s">
        <v>11</v>
      </c>
    </row>
    <row r="3" spans="1:8" ht="15.75" customHeight="1" x14ac:dyDescent="0.25">
      <c r="A3" s="2" t="s">
        <v>25</v>
      </c>
      <c r="B3" s="15">
        <v>388016486</v>
      </c>
      <c r="C3" s="2"/>
      <c r="D3" s="2"/>
    </row>
    <row r="4" spans="1:8" ht="15.75" customHeight="1" x14ac:dyDescent="0.25">
      <c r="A4" s="4" t="s">
        <v>26</v>
      </c>
      <c r="B4" s="15">
        <v>0</v>
      </c>
      <c r="C4" s="4"/>
      <c r="D4" s="4"/>
    </row>
    <row r="5" spans="1:8" ht="15.75" customHeight="1" x14ac:dyDescent="0.25">
      <c r="A5" s="2" t="s">
        <v>27</v>
      </c>
      <c r="B5" s="15">
        <v>0</v>
      </c>
      <c r="C5" s="2"/>
      <c r="D5" s="2"/>
    </row>
    <row r="6" spans="1:8" ht="15.75" customHeight="1" x14ac:dyDescent="0.25">
      <c r="A6" s="4" t="s">
        <v>28</v>
      </c>
      <c r="B6" s="15">
        <v>0</v>
      </c>
      <c r="C6" s="4"/>
      <c r="D6" s="4"/>
    </row>
    <row r="7" spans="1:8" ht="15.75" customHeight="1" x14ac:dyDescent="0.25">
      <c r="A7" s="2" t="s">
        <v>29</v>
      </c>
      <c r="B7" s="15">
        <v>388016486</v>
      </c>
      <c r="C7" s="2"/>
      <c r="D7" s="2" t="s">
        <v>30</v>
      </c>
    </row>
    <row r="8" spans="1:8" ht="15.75" customHeight="1" x14ac:dyDescent="0.25">
      <c r="A8" s="4" t="s">
        <v>31</v>
      </c>
      <c r="B8" s="15">
        <v>34426811</v>
      </c>
      <c r="C8" s="4"/>
      <c r="D8" s="4"/>
    </row>
    <row r="9" spans="1:8" ht="15.75" customHeight="1" x14ac:dyDescent="0.25">
      <c r="A9" s="2" t="s">
        <v>32</v>
      </c>
      <c r="B9" s="15">
        <v>15596872</v>
      </c>
      <c r="C9" s="13">
        <f>B9/B8</f>
        <v>0.45304434384003794</v>
      </c>
      <c r="D9" s="2" t="s">
        <v>33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&amp;C_x000D_&amp;1#&amp;"Aptos"&amp;10&amp;K0000FF CLASSIFICATION: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87722"/>
  </sheetPr>
  <dimension ref="A1:H10"/>
  <sheetViews>
    <sheetView zoomScaleNormal="100" workbookViewId="0">
      <pane ySplit="2" topLeftCell="A3" activePane="bottomLeft" state="frozen"/>
      <selection pane="bottomLeft" activeCell="C6" sqref="C6"/>
    </sheetView>
  </sheetViews>
  <sheetFormatPr defaultColWidth="8.7109375" defaultRowHeight="15" x14ac:dyDescent="0.25"/>
  <cols>
    <col min="1" max="1" width="32" customWidth="1"/>
    <col min="2" max="2" width="22" customWidth="1"/>
    <col min="3" max="3" width="14" style="23" customWidth="1"/>
    <col min="4" max="4" width="40" customWidth="1"/>
  </cols>
  <sheetData>
    <row r="1" spans="1:8" ht="21.75" customHeight="1" x14ac:dyDescent="0.25">
      <c r="A1" s="36" t="s">
        <v>34</v>
      </c>
      <c r="B1" s="36"/>
      <c r="C1" s="36"/>
      <c r="D1" s="36"/>
      <c r="E1" s="36"/>
      <c r="F1" s="36"/>
      <c r="G1" s="36"/>
      <c r="H1" s="36"/>
    </row>
    <row r="2" spans="1:8" ht="18" customHeight="1" x14ac:dyDescent="0.25">
      <c r="A2" s="1" t="s">
        <v>1</v>
      </c>
      <c r="B2" s="1" t="s">
        <v>2</v>
      </c>
      <c r="C2" s="1" t="s">
        <v>24</v>
      </c>
      <c r="D2" s="1" t="s">
        <v>11</v>
      </c>
    </row>
    <row r="3" spans="1:8" ht="15.75" customHeight="1" x14ac:dyDescent="0.25">
      <c r="A3" s="2" t="s">
        <v>35</v>
      </c>
      <c r="B3" s="18">
        <v>355587125</v>
      </c>
      <c r="C3" s="20"/>
      <c r="D3" s="2" t="s">
        <v>36</v>
      </c>
    </row>
    <row r="4" spans="1:8" ht="15.75" customHeight="1" x14ac:dyDescent="0.25">
      <c r="A4" s="4" t="s">
        <v>37</v>
      </c>
      <c r="B4" s="19" t="s">
        <v>38</v>
      </c>
      <c r="C4" s="21"/>
      <c r="D4" s="4" t="s">
        <v>39</v>
      </c>
    </row>
    <row r="5" spans="1:8" ht="15.75" customHeight="1" x14ac:dyDescent="0.25">
      <c r="A5" s="4" t="s">
        <v>178</v>
      </c>
      <c r="B5" s="19">
        <v>0.68799999999999994</v>
      </c>
      <c r="C5" s="21"/>
      <c r="D5" s="4"/>
    </row>
    <row r="6" spans="1:8" ht="15.75" customHeight="1" x14ac:dyDescent="0.25">
      <c r="A6" s="2" t="s">
        <v>40</v>
      </c>
      <c r="B6" s="19">
        <v>0.40899999999999997</v>
      </c>
      <c r="C6" s="22"/>
      <c r="D6" s="2" t="s">
        <v>41</v>
      </c>
    </row>
    <row r="7" spans="1:8" ht="15.75" customHeight="1" x14ac:dyDescent="0.25">
      <c r="A7" s="4" t="s">
        <v>31</v>
      </c>
      <c r="B7" s="18">
        <v>34426811</v>
      </c>
      <c r="C7" s="21"/>
      <c r="D7" s="4" t="s">
        <v>36</v>
      </c>
    </row>
    <row r="8" spans="1:8" ht="15.75" customHeight="1" x14ac:dyDescent="0.25">
      <c r="A8" s="2" t="s">
        <v>32</v>
      </c>
      <c r="B8" s="18">
        <v>15596872</v>
      </c>
      <c r="C8" s="20"/>
      <c r="D8" s="2" t="s">
        <v>36</v>
      </c>
    </row>
    <row r="9" spans="1:8" ht="15.75" customHeight="1" x14ac:dyDescent="0.25">
      <c r="A9" s="4" t="s">
        <v>42</v>
      </c>
      <c r="B9" s="19">
        <f>(B7-B8)/B7</f>
        <v>0.54695565615996211</v>
      </c>
      <c r="C9" s="21"/>
      <c r="D9" s="4" t="s">
        <v>43</v>
      </c>
    </row>
    <row r="10" spans="1:8" ht="15.75" customHeight="1" x14ac:dyDescent="0.25">
      <c r="A10" s="2" t="s">
        <v>44</v>
      </c>
      <c r="B10" s="17" t="s">
        <v>176</v>
      </c>
      <c r="C10" s="20"/>
      <c r="D10" s="2" t="s">
        <v>45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&amp;C_x000D_&amp;1#&amp;"Aptos"&amp;10&amp;K0000FF CLASSIFICATION: Public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87722"/>
  </sheetPr>
  <dimension ref="A1:H8"/>
  <sheetViews>
    <sheetView zoomScaleNormal="100" workbookViewId="0">
      <pane ySplit="2" topLeftCell="A3" activePane="bottomLeft" state="frozen"/>
      <selection pane="bottomLeft" activeCell="C7" sqref="C7"/>
    </sheetView>
  </sheetViews>
  <sheetFormatPr defaultColWidth="8.7109375" defaultRowHeight="15" x14ac:dyDescent="0.25"/>
  <cols>
    <col min="1" max="1" width="32" customWidth="1"/>
    <col min="2" max="2" width="22" customWidth="1"/>
    <col min="3" max="3" width="10" customWidth="1"/>
    <col min="4" max="4" width="20" customWidth="1"/>
    <col min="5" max="5" width="35" customWidth="1"/>
  </cols>
  <sheetData>
    <row r="1" spans="1:8" ht="21.75" customHeight="1" x14ac:dyDescent="0.25">
      <c r="A1" s="36" t="s">
        <v>46</v>
      </c>
      <c r="B1" s="36"/>
      <c r="C1" s="36"/>
      <c r="D1" s="36"/>
      <c r="E1" s="36"/>
      <c r="F1" s="36"/>
      <c r="G1" s="36"/>
      <c r="H1" s="36"/>
    </row>
    <row r="2" spans="1:8" ht="18" customHeight="1" x14ac:dyDescent="0.25">
      <c r="A2" s="1" t="s">
        <v>1</v>
      </c>
      <c r="B2" s="1" t="s">
        <v>23</v>
      </c>
      <c r="C2" s="1" t="s">
        <v>47</v>
      </c>
      <c r="D2" s="1" t="s">
        <v>48</v>
      </c>
      <c r="E2" s="1" t="s">
        <v>11</v>
      </c>
    </row>
    <row r="3" spans="1:8" ht="15.75" customHeight="1" x14ac:dyDescent="0.25">
      <c r="A3" s="2" t="s">
        <v>49</v>
      </c>
      <c r="B3" s="14">
        <v>204059236</v>
      </c>
      <c r="C3" s="13">
        <f>B3/Commercial_Info!$B$3</f>
        <v>0.52590352050144595</v>
      </c>
      <c r="D3" s="2" t="s">
        <v>50</v>
      </c>
      <c r="E3" s="2"/>
      <c r="G3" s="24"/>
    </row>
    <row r="4" spans="1:8" ht="15.75" customHeight="1" x14ac:dyDescent="0.25">
      <c r="A4" s="4" t="s">
        <v>51</v>
      </c>
      <c r="B4" s="14">
        <v>152961744</v>
      </c>
      <c r="C4" s="13">
        <f>B4/Commercial_Info!$B$3</f>
        <v>0.39421454891481078</v>
      </c>
      <c r="D4" s="4" t="s">
        <v>52</v>
      </c>
      <c r="E4" s="4"/>
    </row>
    <row r="5" spans="1:8" ht="15.75" customHeight="1" x14ac:dyDescent="0.25">
      <c r="A5" s="2" t="s">
        <v>53</v>
      </c>
      <c r="B5" s="14">
        <v>152961744</v>
      </c>
      <c r="C5" s="13">
        <f>B5/Commercial_Info!$B$3</f>
        <v>0.39421454891481078</v>
      </c>
      <c r="D5" s="2" t="s">
        <v>52</v>
      </c>
      <c r="E5" s="2"/>
    </row>
    <row r="6" spans="1:8" ht="15.75" customHeight="1" x14ac:dyDescent="0.25">
      <c r="A6" s="4" t="s">
        <v>54</v>
      </c>
      <c r="B6" s="14">
        <v>0</v>
      </c>
      <c r="C6" s="4"/>
      <c r="D6" s="4" t="s">
        <v>55</v>
      </c>
      <c r="E6" s="4"/>
    </row>
    <row r="7" spans="1:8" ht="15.75" customHeight="1" x14ac:dyDescent="0.25">
      <c r="A7" s="2" t="s">
        <v>56</v>
      </c>
      <c r="B7" s="14">
        <v>68039022</v>
      </c>
      <c r="C7" s="13">
        <f>B7/Commercial_Info!$B$3</f>
        <v>0.17535085352017749</v>
      </c>
      <c r="D7" s="2" t="s">
        <v>52</v>
      </c>
      <c r="E7" s="2"/>
    </row>
    <row r="8" spans="1:8" ht="28.5" customHeight="1" x14ac:dyDescent="0.25">
      <c r="A8" s="4" t="s">
        <v>177</v>
      </c>
      <c r="B8" s="26" t="str">
        <f>ROUNDUP(C4*100,0)&amp;"%"&amp;" / "&amp;ROUNDUP(Budgetary_Info!B6*100,0)&amp;"%"</f>
        <v>40% / 41%</v>
      </c>
      <c r="C8" s="4"/>
      <c r="D8" s="4" t="s">
        <v>55</v>
      </c>
      <c r="E8" s="4" t="s">
        <v>57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&amp;C_x000D_&amp;1#&amp;"Aptos"&amp;10&amp;K0000FF CLASSIFICATION: Public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87722"/>
  </sheetPr>
  <dimension ref="A1:H6"/>
  <sheetViews>
    <sheetView tabSelected="1" zoomScale="115" zoomScaleNormal="115" workbookViewId="0">
      <pane ySplit="2" topLeftCell="A3" activePane="bottomLeft" state="frozen"/>
      <selection pane="bottomLeft" activeCell="E3" sqref="E3:F6"/>
    </sheetView>
  </sheetViews>
  <sheetFormatPr defaultColWidth="8.7109375" defaultRowHeight="15" x14ac:dyDescent="0.25"/>
  <cols>
    <col min="1" max="1" width="30" customWidth="1"/>
    <col min="2" max="2" width="20" customWidth="1"/>
    <col min="3" max="3" width="16" customWidth="1"/>
    <col min="4" max="4" width="40" customWidth="1"/>
  </cols>
  <sheetData>
    <row r="1" spans="1:8" ht="21.75" customHeight="1" x14ac:dyDescent="0.25">
      <c r="A1" s="36" t="s">
        <v>58</v>
      </c>
      <c r="B1" s="36"/>
      <c r="C1" s="36"/>
      <c r="D1" s="36"/>
      <c r="E1" s="36"/>
      <c r="F1" s="36"/>
      <c r="G1" s="36"/>
      <c r="H1" s="36"/>
    </row>
    <row r="2" spans="1:8" ht="18" customHeight="1" x14ac:dyDescent="0.25">
      <c r="A2" s="1" t="s">
        <v>1</v>
      </c>
      <c r="B2" s="1" t="s">
        <v>59</v>
      </c>
      <c r="C2" s="1" t="s">
        <v>60</v>
      </c>
      <c r="D2" s="1" t="s">
        <v>11</v>
      </c>
    </row>
    <row r="3" spans="1:8" ht="27" customHeight="1" x14ac:dyDescent="0.25">
      <c r="A3" s="2" t="s">
        <v>61</v>
      </c>
      <c r="B3" s="3">
        <f>B5-B6</f>
        <v>-61.199999999999989</v>
      </c>
      <c r="C3" s="2"/>
      <c r="D3" s="2" t="s">
        <v>62</v>
      </c>
    </row>
    <row r="4" spans="1:8" ht="27" customHeight="1" x14ac:dyDescent="0.25">
      <c r="A4" s="4" t="s">
        <v>63</v>
      </c>
      <c r="B4" s="3" t="s">
        <v>64</v>
      </c>
      <c r="C4" s="4"/>
      <c r="D4" s="4" t="s">
        <v>65</v>
      </c>
    </row>
    <row r="5" spans="1:8" ht="27" customHeight="1" x14ac:dyDescent="0.25">
      <c r="A5" s="2" t="s">
        <v>66</v>
      </c>
      <c r="B5" s="3">
        <v>68</v>
      </c>
      <c r="C5" s="35">
        <f>(B5/B6)*100</f>
        <v>52.631578947368432</v>
      </c>
      <c r="D5" s="2" t="s">
        <v>67</v>
      </c>
    </row>
    <row r="6" spans="1:8" ht="27" customHeight="1" x14ac:dyDescent="0.25">
      <c r="A6" s="4" t="s">
        <v>68</v>
      </c>
      <c r="B6" s="3">
        <v>129.19999999999999</v>
      </c>
      <c r="C6" s="4" t="s">
        <v>38</v>
      </c>
      <c r="D6" s="4" t="s">
        <v>69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&amp;C_x000D_&amp;1#&amp;"Aptos"&amp;10&amp;K0000FF CLASSIFICATION: Public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87722"/>
  </sheetPr>
  <dimension ref="A1:H21"/>
  <sheetViews>
    <sheetView zoomScaleNormal="100" workbookViewId="0">
      <pane ySplit="2" topLeftCell="A3" activePane="bottomLeft" state="frozen"/>
      <selection pane="bottomLeft" activeCell="B16" sqref="B16"/>
    </sheetView>
  </sheetViews>
  <sheetFormatPr defaultColWidth="8.7109375" defaultRowHeight="15" x14ac:dyDescent="0.25"/>
  <cols>
    <col min="1" max="1" width="28" customWidth="1"/>
    <col min="2" max="2" width="16" customWidth="1"/>
    <col min="3" max="3" width="50" customWidth="1"/>
    <col min="4" max="4" width="10" customWidth="1"/>
  </cols>
  <sheetData>
    <row r="1" spans="1:8" ht="21.75" customHeight="1" x14ac:dyDescent="0.25">
      <c r="A1" s="36" t="s">
        <v>70</v>
      </c>
      <c r="B1" s="36"/>
      <c r="C1" s="36"/>
      <c r="D1" s="36"/>
      <c r="E1" s="36"/>
      <c r="F1" s="36"/>
      <c r="G1" s="36"/>
      <c r="H1" s="36"/>
    </row>
    <row r="2" spans="1:8" ht="15" customHeight="1" x14ac:dyDescent="0.25">
      <c r="A2" s="37" t="s">
        <v>71</v>
      </c>
      <c r="B2" s="37"/>
      <c r="C2" s="37"/>
      <c r="D2" s="37"/>
    </row>
    <row r="3" spans="1:8" ht="18" customHeight="1" x14ac:dyDescent="0.25">
      <c r="A3" s="1" t="s">
        <v>1</v>
      </c>
      <c r="B3" s="1" t="s">
        <v>2</v>
      </c>
      <c r="C3" s="1" t="s">
        <v>11</v>
      </c>
      <c r="D3" s="1"/>
    </row>
    <row r="4" spans="1:8" ht="15.75" customHeight="1" x14ac:dyDescent="0.25">
      <c r="A4" s="4" t="s">
        <v>72</v>
      </c>
      <c r="B4" s="3">
        <f>B5+B6</f>
        <v>751</v>
      </c>
      <c r="C4" s="4" t="s">
        <v>73</v>
      </c>
      <c r="D4" s="4"/>
    </row>
    <row r="5" spans="1:8" ht="15.75" customHeight="1" x14ac:dyDescent="0.25">
      <c r="A5" s="2" t="s">
        <v>74</v>
      </c>
      <c r="B5" s="3">
        <v>654</v>
      </c>
      <c r="C5" s="2" t="s">
        <v>75</v>
      </c>
      <c r="D5" s="2"/>
    </row>
    <row r="6" spans="1:8" ht="15.75" customHeight="1" x14ac:dyDescent="0.25">
      <c r="A6" s="4" t="s">
        <v>76</v>
      </c>
      <c r="B6" s="3">
        <v>97</v>
      </c>
      <c r="C6" s="4" t="s">
        <v>77</v>
      </c>
      <c r="D6" s="4"/>
    </row>
    <row r="7" spans="1:8" ht="15.75" customHeight="1" x14ac:dyDescent="0.25">
      <c r="A7" s="2" t="s">
        <v>78</v>
      </c>
      <c r="B7" s="25">
        <f>B5/B4</f>
        <v>0.87083888149134492</v>
      </c>
      <c r="C7" s="2" t="s">
        <v>79</v>
      </c>
      <c r="D7" s="2"/>
    </row>
    <row r="8" spans="1:8" ht="6" customHeight="1" x14ac:dyDescent="0.25"/>
    <row r="9" spans="1:8" ht="15" customHeight="1" x14ac:dyDescent="0.25">
      <c r="A9" s="37" t="s">
        <v>80</v>
      </c>
      <c r="B9" s="37"/>
      <c r="C9" s="37"/>
      <c r="D9" s="37"/>
    </row>
    <row r="10" spans="1:8" ht="18" customHeight="1" x14ac:dyDescent="0.25">
      <c r="A10" s="1" t="s">
        <v>81</v>
      </c>
      <c r="B10" s="1" t="s">
        <v>82</v>
      </c>
      <c r="C10" s="1" t="s">
        <v>11</v>
      </c>
      <c r="D10" s="1"/>
    </row>
    <row r="11" spans="1:8" ht="15.75" customHeight="1" x14ac:dyDescent="0.25">
      <c r="A11" s="2" t="s">
        <v>83</v>
      </c>
      <c r="B11" s="3">
        <v>386</v>
      </c>
      <c r="C11" s="2" t="s">
        <v>84</v>
      </c>
      <c r="D11" s="2"/>
    </row>
    <row r="12" spans="1:8" ht="15.75" customHeight="1" x14ac:dyDescent="0.25">
      <c r="A12" s="4" t="s">
        <v>85</v>
      </c>
      <c r="B12" s="3">
        <v>268</v>
      </c>
      <c r="C12" s="4" t="s">
        <v>84</v>
      </c>
      <c r="D12" s="4"/>
    </row>
    <row r="13" spans="1:8" ht="6" customHeight="1" x14ac:dyDescent="0.25"/>
    <row r="14" spans="1:8" ht="15" customHeight="1" x14ac:dyDescent="0.25">
      <c r="A14" s="37" t="s">
        <v>86</v>
      </c>
      <c r="B14" s="37"/>
      <c r="C14" s="37"/>
      <c r="D14" s="37"/>
    </row>
    <row r="15" spans="1:8" ht="18" customHeight="1" x14ac:dyDescent="0.25">
      <c r="A15" s="1" t="s">
        <v>87</v>
      </c>
      <c r="B15" s="1" t="s">
        <v>2</v>
      </c>
      <c r="C15" s="1" t="s">
        <v>88</v>
      </c>
      <c r="D15" s="1"/>
    </row>
    <row r="16" spans="1:8" ht="15.75" customHeight="1" x14ac:dyDescent="0.25">
      <c r="A16" s="4" t="s">
        <v>89</v>
      </c>
      <c r="B16" s="3">
        <f>B4/B5*100</f>
        <v>114.83180428134557</v>
      </c>
      <c r="C16" s="4" t="s">
        <v>90</v>
      </c>
      <c r="D16" s="4"/>
    </row>
    <row r="17" spans="1:4" ht="15.75" customHeight="1" x14ac:dyDescent="0.25">
      <c r="A17" s="2" t="s">
        <v>91</v>
      </c>
      <c r="B17" s="3">
        <f>B6/B5*100</f>
        <v>14.831804281345565</v>
      </c>
      <c r="C17" s="2" t="s">
        <v>92</v>
      </c>
      <c r="D17" s="2"/>
    </row>
    <row r="18" spans="1:4" ht="15.75" customHeight="1" x14ac:dyDescent="0.25">
      <c r="A18" s="4" t="s">
        <v>93</v>
      </c>
      <c r="B18" s="3">
        <f>B16</f>
        <v>114.83180428134557</v>
      </c>
      <c r="C18" s="4" t="s">
        <v>94</v>
      </c>
      <c r="D18" s="4"/>
    </row>
    <row r="19" spans="1:4" ht="15.75" customHeight="1" x14ac:dyDescent="0.25">
      <c r="A19" s="2" t="s">
        <v>95</v>
      </c>
      <c r="B19" s="3">
        <f>100-B16</f>
        <v>-14.831804281345569</v>
      </c>
      <c r="C19" s="2" t="s">
        <v>96</v>
      </c>
      <c r="D19" s="2"/>
    </row>
    <row r="20" spans="1:4" ht="15.75" customHeight="1" x14ac:dyDescent="0.25">
      <c r="A20" s="4" t="s">
        <v>97</v>
      </c>
      <c r="B20" s="3">
        <f>B17</f>
        <v>14.831804281345565</v>
      </c>
      <c r="C20" s="4" t="s">
        <v>98</v>
      </c>
      <c r="D20" s="4"/>
    </row>
    <row r="21" spans="1:4" ht="15.75" customHeight="1" x14ac:dyDescent="0.25">
      <c r="A21" s="2" t="s">
        <v>99</v>
      </c>
      <c r="B21" s="3">
        <f>100-B17</f>
        <v>85.168195718654431</v>
      </c>
      <c r="C21" s="2" t="s">
        <v>100</v>
      </c>
      <c r="D21" s="2"/>
    </row>
  </sheetData>
  <mergeCells count="4">
    <mergeCell ref="A1:H1"/>
    <mergeCell ref="A2:D2"/>
    <mergeCell ref="A9:D9"/>
    <mergeCell ref="A14:D14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&amp;C_x000D_&amp;1#&amp;"Aptos"&amp;10&amp;K0000FF CLASSIFICATION: Public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87722"/>
  </sheetPr>
  <dimension ref="A1:H8"/>
  <sheetViews>
    <sheetView zoomScaleNormal="100" workbookViewId="0">
      <pane ySplit="2" topLeftCell="A3" activePane="bottomLeft" state="frozen"/>
      <selection pane="bottomLeft" activeCell="B3" sqref="B3:C8"/>
    </sheetView>
  </sheetViews>
  <sheetFormatPr defaultColWidth="8.7109375" defaultRowHeight="15" x14ac:dyDescent="0.25"/>
  <cols>
    <col min="1" max="1" width="28" customWidth="1"/>
    <col min="2" max="4" width="10" customWidth="1"/>
    <col min="5" max="5" width="16" customWidth="1"/>
    <col min="6" max="6" width="35" customWidth="1"/>
  </cols>
  <sheetData>
    <row r="1" spans="1:8" ht="21.75" customHeight="1" x14ac:dyDescent="0.25">
      <c r="A1" s="36" t="s">
        <v>101</v>
      </c>
      <c r="B1" s="36"/>
      <c r="C1" s="36"/>
      <c r="D1" s="36"/>
      <c r="E1" s="36"/>
      <c r="F1" s="36"/>
      <c r="G1" s="36"/>
      <c r="H1" s="36"/>
    </row>
    <row r="2" spans="1:8" ht="18" customHeight="1" x14ac:dyDescent="0.25">
      <c r="A2" s="1" t="s">
        <v>102</v>
      </c>
      <c r="B2" s="1" t="s">
        <v>103</v>
      </c>
      <c r="C2" s="1" t="s">
        <v>104</v>
      </c>
      <c r="D2" s="1" t="s">
        <v>105</v>
      </c>
      <c r="E2" s="1" t="s">
        <v>106</v>
      </c>
      <c r="F2" s="1" t="s">
        <v>11</v>
      </c>
    </row>
    <row r="3" spans="1:8" ht="15.75" customHeight="1" x14ac:dyDescent="0.25">
      <c r="A3" s="2" t="s">
        <v>107</v>
      </c>
      <c r="B3" s="27">
        <v>92.78</v>
      </c>
      <c r="C3" s="27">
        <v>84.28</v>
      </c>
      <c r="D3" s="5">
        <f t="shared" ref="D3:D8" si="0">-C3+B3</f>
        <v>8.5</v>
      </c>
      <c r="E3" s="2" t="s">
        <v>108</v>
      </c>
      <c r="F3" s="2" t="s">
        <v>109</v>
      </c>
    </row>
    <row r="4" spans="1:8" ht="15.75" customHeight="1" x14ac:dyDescent="0.25">
      <c r="A4" s="4" t="s">
        <v>110</v>
      </c>
      <c r="B4" s="28">
        <v>100</v>
      </c>
      <c r="C4" s="28">
        <v>99.25</v>
      </c>
      <c r="D4" s="6">
        <f t="shared" si="0"/>
        <v>0.75</v>
      </c>
      <c r="E4" s="4" t="s">
        <v>111</v>
      </c>
      <c r="F4" s="4" t="s">
        <v>112</v>
      </c>
    </row>
    <row r="5" spans="1:8" ht="15.75" customHeight="1" x14ac:dyDescent="0.25">
      <c r="A5" s="2" t="s">
        <v>113</v>
      </c>
      <c r="B5" s="27">
        <v>100</v>
      </c>
      <c r="C5" s="27">
        <v>95.54</v>
      </c>
      <c r="D5" s="5">
        <f t="shared" si="0"/>
        <v>4.4599999999999937</v>
      </c>
      <c r="E5" s="2" t="s">
        <v>114</v>
      </c>
      <c r="F5" s="2" t="s">
        <v>115</v>
      </c>
    </row>
    <row r="6" spans="1:8" ht="15.75" customHeight="1" x14ac:dyDescent="0.25">
      <c r="A6" s="4" t="s">
        <v>116</v>
      </c>
      <c r="B6" s="28">
        <v>95.92</v>
      </c>
      <c r="C6" s="28">
        <v>90.82</v>
      </c>
      <c r="D6" s="6">
        <f t="shared" si="0"/>
        <v>5.1000000000000085</v>
      </c>
      <c r="E6" s="4" t="s">
        <v>108</v>
      </c>
      <c r="F6" s="4" t="s">
        <v>109</v>
      </c>
    </row>
    <row r="7" spans="1:8" ht="15.75" customHeight="1" x14ac:dyDescent="0.25">
      <c r="A7" s="2" t="s">
        <v>117</v>
      </c>
      <c r="B7" s="27">
        <v>100</v>
      </c>
      <c r="C7" s="27">
        <v>93.32</v>
      </c>
      <c r="D7" s="5">
        <f t="shared" si="0"/>
        <v>6.6800000000000068</v>
      </c>
      <c r="E7" s="2" t="s">
        <v>114</v>
      </c>
      <c r="F7" s="2" t="s">
        <v>115</v>
      </c>
    </row>
    <row r="8" spans="1:8" ht="15.75" customHeight="1" x14ac:dyDescent="0.25">
      <c r="A8" s="4" t="s">
        <v>118</v>
      </c>
      <c r="B8" s="28">
        <v>68.05</v>
      </c>
      <c r="C8" s="28">
        <v>22.08</v>
      </c>
      <c r="D8" s="6">
        <f t="shared" si="0"/>
        <v>45.97</v>
      </c>
      <c r="E8" s="4" t="s">
        <v>108</v>
      </c>
      <c r="F8" s="4" t="s">
        <v>119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&amp;C_x000D_&amp;1#&amp;"Aptos"&amp;10&amp;K0000FF CLASSIFICATION: Public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87722"/>
  </sheetPr>
  <dimension ref="A1:H8"/>
  <sheetViews>
    <sheetView zoomScaleNormal="100" workbookViewId="0">
      <pane ySplit="2" topLeftCell="A3" activePane="bottomLeft" state="frozen"/>
      <selection pane="bottomLeft" activeCell="B8" sqref="B8"/>
    </sheetView>
  </sheetViews>
  <sheetFormatPr defaultColWidth="8.7109375" defaultRowHeight="15" x14ac:dyDescent="0.25"/>
  <cols>
    <col min="1" max="1" width="18" customWidth="1"/>
    <col min="2" max="4" width="10" customWidth="1"/>
    <col min="5" max="5" width="16" customWidth="1"/>
    <col min="6" max="6" width="40" customWidth="1"/>
  </cols>
  <sheetData>
    <row r="1" spans="1:8" ht="21.75" customHeight="1" x14ac:dyDescent="0.25">
      <c r="A1" s="36" t="s">
        <v>120</v>
      </c>
      <c r="B1" s="36"/>
      <c r="C1" s="36"/>
      <c r="D1" s="36"/>
      <c r="E1" s="36"/>
      <c r="F1" s="36"/>
      <c r="G1" s="36"/>
      <c r="H1" s="36"/>
    </row>
    <row r="2" spans="1:8" ht="18" customHeight="1" x14ac:dyDescent="0.25">
      <c r="A2" s="1" t="s">
        <v>121</v>
      </c>
      <c r="B2" s="1" t="s">
        <v>103</v>
      </c>
      <c r="C2" s="1" t="s">
        <v>104</v>
      </c>
      <c r="D2" s="1" t="s">
        <v>105</v>
      </c>
      <c r="E2" s="1" t="s">
        <v>106</v>
      </c>
      <c r="F2" s="1" t="s">
        <v>11</v>
      </c>
    </row>
    <row r="3" spans="1:8" ht="15.75" customHeight="1" x14ac:dyDescent="0.25">
      <c r="A3" s="2" t="s">
        <v>122</v>
      </c>
      <c r="B3" s="2">
        <v>92.88</v>
      </c>
      <c r="C3" s="2">
        <v>83.78</v>
      </c>
      <c r="D3" s="5">
        <f>-C3+B3</f>
        <v>9.0999999999999943</v>
      </c>
      <c r="E3" s="2" t="s">
        <v>108</v>
      </c>
      <c r="F3" s="2"/>
    </row>
    <row r="4" spans="1:8" ht="15.75" customHeight="1" x14ac:dyDescent="0.25">
      <c r="A4" s="4" t="s">
        <v>123</v>
      </c>
      <c r="B4" s="4">
        <v>92.15</v>
      </c>
      <c r="C4" s="4">
        <v>84.33</v>
      </c>
      <c r="D4" s="6">
        <f>-C4+B4</f>
        <v>7.8200000000000074</v>
      </c>
      <c r="E4" s="4" t="s">
        <v>114</v>
      </c>
      <c r="F4" s="4"/>
    </row>
    <row r="5" spans="1:8" ht="15.75" customHeight="1" x14ac:dyDescent="0.25">
      <c r="A5" s="2" t="s">
        <v>124</v>
      </c>
      <c r="B5" s="2">
        <v>90.96</v>
      </c>
      <c r="C5" s="2">
        <v>81.37</v>
      </c>
      <c r="D5" s="5">
        <f>-C5+B5</f>
        <v>9.5899999999999892</v>
      </c>
      <c r="E5" s="2" t="s">
        <v>108</v>
      </c>
      <c r="F5" s="2" t="s">
        <v>125</v>
      </c>
    </row>
    <row r="6" spans="1:8" ht="15.75" customHeight="1" x14ac:dyDescent="0.25">
      <c r="A6" s="4" t="s">
        <v>126</v>
      </c>
      <c r="B6" s="4">
        <v>95.89</v>
      </c>
      <c r="C6" s="4">
        <v>86.1</v>
      </c>
      <c r="D6" s="6">
        <f>-C6+B6</f>
        <v>9.7900000000000063</v>
      </c>
      <c r="E6" s="4" t="s">
        <v>108</v>
      </c>
      <c r="F6" s="4"/>
    </row>
    <row r="7" spans="1:8" ht="15.75" customHeight="1" x14ac:dyDescent="0.25">
      <c r="A7" s="2" t="s">
        <v>127</v>
      </c>
      <c r="B7" s="2">
        <v>95.71</v>
      </c>
      <c r="C7" s="2">
        <v>91.03</v>
      </c>
      <c r="D7" s="5">
        <f>-C7+B7</f>
        <v>4.6799999999999926</v>
      </c>
      <c r="E7" s="2" t="s">
        <v>114</v>
      </c>
      <c r="F7" s="2" t="s">
        <v>128</v>
      </c>
    </row>
    <row r="8" spans="1:8" ht="15" customHeight="1" x14ac:dyDescent="0.25">
      <c r="A8" s="7" t="s">
        <v>129</v>
      </c>
      <c r="B8" s="7"/>
      <c r="C8" s="7"/>
      <c r="D8" s="7"/>
      <c r="E8" s="7"/>
      <c r="F8" s="7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&amp;C_x000D_&amp;1#&amp;"Aptos"&amp;10&amp;K0000FF CLASSIFICATION: Public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87722"/>
  </sheetPr>
  <dimension ref="A1:H30"/>
  <sheetViews>
    <sheetView zoomScale="115" zoomScaleNormal="115" workbookViewId="0">
      <pane ySplit="2" topLeftCell="A8" activePane="bottomLeft" state="frozen"/>
      <selection pane="bottomLeft" activeCell="C13" sqref="C13"/>
    </sheetView>
  </sheetViews>
  <sheetFormatPr defaultColWidth="8.7109375" defaultRowHeight="15" x14ac:dyDescent="0.25"/>
  <cols>
    <col min="1" max="1" width="12" customWidth="1"/>
    <col min="2" max="2" width="14" customWidth="1"/>
    <col min="3" max="3" width="22" customWidth="1"/>
    <col min="4" max="4" width="16" customWidth="1"/>
    <col min="5" max="5" width="14" customWidth="1"/>
    <col min="6" max="6" width="22" customWidth="1"/>
    <col min="7" max="7" width="16" customWidth="1"/>
    <col min="8" max="8" width="30" customWidth="1"/>
  </cols>
  <sheetData>
    <row r="1" spans="1:8" ht="21.75" customHeight="1" x14ac:dyDescent="0.25">
      <c r="A1" s="36" t="s">
        <v>130</v>
      </c>
      <c r="B1" s="36"/>
      <c r="C1" s="36"/>
      <c r="D1" s="36"/>
      <c r="E1" s="36"/>
      <c r="F1" s="36"/>
      <c r="G1" s="36"/>
      <c r="H1" s="36"/>
    </row>
    <row r="2" spans="1:8" ht="18" customHeight="1" x14ac:dyDescent="0.25">
      <c r="A2" s="1" t="s">
        <v>131</v>
      </c>
      <c r="B2" s="1" t="s">
        <v>132</v>
      </c>
      <c r="C2" s="1" t="s">
        <v>133</v>
      </c>
      <c r="D2" s="1" t="s">
        <v>134</v>
      </c>
      <c r="E2" s="1" t="s">
        <v>135</v>
      </c>
      <c r="F2" s="1" t="s">
        <v>136</v>
      </c>
      <c r="G2" s="1" t="s">
        <v>137</v>
      </c>
      <c r="H2" s="1" t="s">
        <v>11</v>
      </c>
    </row>
    <row r="3" spans="1:8" ht="15.75" customHeight="1" x14ac:dyDescent="0.25">
      <c r="A3" s="32">
        <v>45620</v>
      </c>
      <c r="B3" s="2" t="s">
        <v>138</v>
      </c>
      <c r="C3" s="2" t="s">
        <v>139</v>
      </c>
      <c r="D3" s="2" t="s">
        <v>140</v>
      </c>
      <c r="E3" s="2" t="s">
        <v>141</v>
      </c>
      <c r="F3" s="2"/>
      <c r="G3" s="2"/>
      <c r="H3" s="2" t="s">
        <v>142</v>
      </c>
    </row>
    <row r="4" spans="1:8" ht="15.75" customHeight="1" x14ac:dyDescent="0.25">
      <c r="A4" s="33">
        <v>45650</v>
      </c>
      <c r="B4" s="4" t="s">
        <v>141</v>
      </c>
      <c r="C4" s="4"/>
      <c r="D4" s="4"/>
      <c r="E4" s="4" t="s">
        <v>141</v>
      </c>
      <c r="F4" s="4"/>
      <c r="G4" s="4"/>
      <c r="H4" s="4"/>
    </row>
    <row r="5" spans="1:8" ht="15.75" customHeight="1" x14ac:dyDescent="0.25">
      <c r="A5" s="32">
        <v>45681</v>
      </c>
      <c r="B5" s="2" t="s">
        <v>141</v>
      </c>
      <c r="C5" s="2"/>
      <c r="D5" s="2"/>
      <c r="E5" s="2" t="s">
        <v>141</v>
      </c>
      <c r="F5" s="2"/>
      <c r="G5" s="2"/>
      <c r="H5" s="2"/>
    </row>
    <row r="6" spans="1:8" ht="15.75" customHeight="1" x14ac:dyDescent="0.25">
      <c r="A6" s="33">
        <v>45712</v>
      </c>
      <c r="B6" s="4" t="s">
        <v>141</v>
      </c>
      <c r="C6" s="4"/>
      <c r="D6" s="4"/>
      <c r="E6" s="4" t="s">
        <v>141</v>
      </c>
      <c r="F6" s="4"/>
      <c r="G6" s="4"/>
      <c r="H6" s="4"/>
    </row>
    <row r="7" spans="1:8" ht="15.75" customHeight="1" x14ac:dyDescent="0.25">
      <c r="A7" s="32">
        <v>45740</v>
      </c>
      <c r="B7" s="2" t="s">
        <v>138</v>
      </c>
      <c r="C7" s="2" t="s">
        <v>143</v>
      </c>
      <c r="D7" s="2" t="s">
        <v>140</v>
      </c>
      <c r="E7" s="2" t="s">
        <v>141</v>
      </c>
      <c r="F7" s="2"/>
      <c r="G7" s="2"/>
      <c r="H7" s="2"/>
    </row>
    <row r="8" spans="1:8" ht="15.75" customHeight="1" x14ac:dyDescent="0.25">
      <c r="A8" s="33">
        <v>45771</v>
      </c>
      <c r="B8" s="4" t="s">
        <v>138</v>
      </c>
      <c r="C8" s="4" t="s">
        <v>144</v>
      </c>
      <c r="D8" s="4" t="s">
        <v>145</v>
      </c>
      <c r="E8" s="4" t="s">
        <v>141</v>
      </c>
      <c r="F8" s="4"/>
      <c r="G8" s="4"/>
      <c r="H8" s="4" t="s">
        <v>146</v>
      </c>
    </row>
    <row r="9" spans="1:8" ht="15.75" customHeight="1" x14ac:dyDescent="0.25">
      <c r="A9" s="32">
        <v>45801</v>
      </c>
      <c r="B9" s="2" t="s">
        <v>141</v>
      </c>
      <c r="C9" s="2"/>
      <c r="D9" s="2"/>
      <c r="E9" s="2" t="s">
        <v>141</v>
      </c>
      <c r="F9" s="2"/>
      <c r="G9" s="2"/>
      <c r="H9" s="2"/>
    </row>
    <row r="10" spans="1:8" ht="15.75" customHeight="1" x14ac:dyDescent="0.25">
      <c r="A10" s="33">
        <v>45832</v>
      </c>
      <c r="B10" s="4" t="s">
        <v>138</v>
      </c>
      <c r="C10" s="4" t="s">
        <v>147</v>
      </c>
      <c r="D10" s="4" t="s">
        <v>140</v>
      </c>
      <c r="E10" s="4" t="s">
        <v>141</v>
      </c>
      <c r="F10" s="4"/>
      <c r="G10" s="4"/>
      <c r="H10" s="4"/>
    </row>
    <row r="11" spans="1:8" ht="15.75" customHeight="1" x14ac:dyDescent="0.25">
      <c r="A11" s="32">
        <v>45862</v>
      </c>
      <c r="B11" s="2" t="s">
        <v>141</v>
      </c>
      <c r="C11" s="2"/>
      <c r="D11" s="2"/>
      <c r="E11" s="2" t="s">
        <v>141</v>
      </c>
      <c r="F11" s="2"/>
      <c r="G11" s="2"/>
      <c r="H11" s="2"/>
    </row>
    <row r="12" spans="1:8" ht="15.75" customHeight="1" x14ac:dyDescent="0.25">
      <c r="A12" s="33">
        <v>45893</v>
      </c>
      <c r="B12" s="4" t="s">
        <v>141</v>
      </c>
      <c r="C12" s="4"/>
      <c r="D12" s="4"/>
      <c r="E12" s="4" t="s">
        <v>141</v>
      </c>
      <c r="F12" s="4"/>
      <c r="G12" s="4"/>
      <c r="H12" s="4"/>
    </row>
    <row r="13" spans="1:8" ht="25.5" x14ac:dyDescent="0.25">
      <c r="A13" s="32">
        <v>45924</v>
      </c>
      <c r="B13" s="2" t="s">
        <v>138</v>
      </c>
      <c r="C13" s="2" t="s">
        <v>179</v>
      </c>
      <c r="D13" s="2" t="s">
        <v>145</v>
      </c>
      <c r="E13" s="2" t="s">
        <v>141</v>
      </c>
      <c r="F13" s="2"/>
      <c r="G13" s="2"/>
      <c r="H13" s="2"/>
    </row>
    <row r="14" spans="1:8" ht="25.5" x14ac:dyDescent="0.25">
      <c r="A14" s="33">
        <v>45954</v>
      </c>
      <c r="B14" s="4" t="s">
        <v>138</v>
      </c>
      <c r="C14" s="4" t="s">
        <v>180</v>
      </c>
      <c r="D14" s="4" t="s">
        <v>140</v>
      </c>
      <c r="E14" s="4" t="s">
        <v>141</v>
      </c>
      <c r="F14" s="4"/>
      <c r="G14" s="4"/>
      <c r="H14" s="4"/>
    </row>
    <row r="15" spans="1:8" ht="15.75" customHeight="1" x14ac:dyDescent="0.25">
      <c r="A15" s="32">
        <v>45985</v>
      </c>
      <c r="B15" s="2" t="s">
        <v>141</v>
      </c>
      <c r="C15" s="2"/>
      <c r="D15" s="2"/>
      <c r="E15" s="2" t="s">
        <v>141</v>
      </c>
      <c r="F15" s="2"/>
      <c r="G15" s="2"/>
      <c r="H15" s="2"/>
    </row>
    <row r="16" spans="1:8" ht="15.75" customHeight="1" x14ac:dyDescent="0.25">
      <c r="A16" s="33">
        <v>46015</v>
      </c>
      <c r="B16" s="4" t="s">
        <v>138</v>
      </c>
      <c r="C16" s="4" t="s">
        <v>181</v>
      </c>
      <c r="D16" s="4" t="s">
        <v>145</v>
      </c>
      <c r="E16" s="4" t="s">
        <v>141</v>
      </c>
      <c r="F16" s="4"/>
      <c r="G16" s="4"/>
      <c r="H16" s="4"/>
    </row>
    <row r="17" spans="1:8" ht="15.75" customHeight="1" x14ac:dyDescent="0.25">
      <c r="A17" s="32">
        <v>46046</v>
      </c>
      <c r="B17" s="2" t="s">
        <v>141</v>
      </c>
      <c r="C17" s="2"/>
      <c r="D17" s="2"/>
      <c r="E17" s="2" t="s">
        <v>141</v>
      </c>
      <c r="F17" s="2"/>
      <c r="G17" s="2"/>
      <c r="H17" s="2"/>
    </row>
    <row r="18" spans="1:8" ht="15.75" customHeight="1" x14ac:dyDescent="0.25">
      <c r="A18" s="33">
        <v>46077</v>
      </c>
      <c r="B18" s="4" t="s">
        <v>141</v>
      </c>
      <c r="C18" s="4"/>
      <c r="D18" s="4"/>
      <c r="E18" s="4" t="s">
        <v>141</v>
      </c>
      <c r="F18" s="4"/>
      <c r="G18" s="4"/>
      <c r="H18" s="4"/>
    </row>
    <row r="19" spans="1:8" ht="15.75" customHeight="1" x14ac:dyDescent="0.25">
      <c r="A19" s="32">
        <v>46105</v>
      </c>
      <c r="B19" s="2" t="s">
        <v>141</v>
      </c>
      <c r="C19" s="2"/>
      <c r="D19" s="2"/>
      <c r="E19" s="2" t="s">
        <v>141</v>
      </c>
      <c r="F19" s="2"/>
      <c r="G19" s="2"/>
      <c r="H19" s="2"/>
    </row>
    <row r="20" spans="1:8" ht="15.75" customHeight="1" x14ac:dyDescent="0.25">
      <c r="A20" s="33">
        <v>46136</v>
      </c>
      <c r="B20" s="2" t="s">
        <v>141</v>
      </c>
      <c r="C20" s="2"/>
      <c r="D20" s="2"/>
      <c r="E20" s="2" t="s">
        <v>141</v>
      </c>
      <c r="F20" s="2"/>
      <c r="G20" s="2"/>
      <c r="H20" s="2"/>
    </row>
    <row r="21" spans="1:8" ht="15.75" customHeight="1" x14ac:dyDescent="0.25">
      <c r="A21" s="32">
        <v>46166</v>
      </c>
      <c r="B21" s="2" t="s">
        <v>141</v>
      </c>
      <c r="C21" s="2"/>
      <c r="D21" s="2"/>
      <c r="E21" s="2" t="s">
        <v>141</v>
      </c>
      <c r="F21" s="2"/>
      <c r="G21" s="2"/>
      <c r="H21" s="2"/>
    </row>
    <row r="22" spans="1:8" ht="15.75" customHeight="1" x14ac:dyDescent="0.25">
      <c r="A22" s="33">
        <v>46197</v>
      </c>
      <c r="B22" s="2" t="s">
        <v>141</v>
      </c>
      <c r="C22" s="2"/>
      <c r="D22" s="2"/>
      <c r="E22" s="2" t="s">
        <v>138</v>
      </c>
      <c r="F22" s="2"/>
      <c r="G22" s="2"/>
      <c r="H22" s="2"/>
    </row>
    <row r="23" spans="1:8" x14ac:dyDescent="0.25">
      <c r="A23" s="32">
        <v>46227</v>
      </c>
      <c r="B23" s="8" t="s">
        <v>141</v>
      </c>
      <c r="C23" s="8"/>
      <c r="D23" s="8"/>
      <c r="E23" s="8" t="s">
        <v>138</v>
      </c>
      <c r="F23" s="8" t="s">
        <v>17</v>
      </c>
      <c r="G23" s="8" t="s">
        <v>18</v>
      </c>
      <c r="H23" s="8" t="s">
        <v>148</v>
      </c>
    </row>
    <row r="24" spans="1:8" x14ac:dyDescent="0.25">
      <c r="A24" s="33">
        <v>46258</v>
      </c>
      <c r="B24" s="2" t="s">
        <v>141</v>
      </c>
      <c r="C24" s="2"/>
      <c r="D24" s="2"/>
      <c r="E24" s="2" t="s">
        <v>141</v>
      </c>
      <c r="F24" s="2"/>
      <c r="G24" s="2"/>
      <c r="H24" s="2"/>
    </row>
    <row r="25" spans="1:8" x14ac:dyDescent="0.25">
      <c r="A25" s="32">
        <v>46289</v>
      </c>
      <c r="B25" s="2" t="s">
        <v>141</v>
      </c>
      <c r="C25" s="2"/>
      <c r="D25" s="2"/>
      <c r="E25" s="2" t="s">
        <v>141</v>
      </c>
      <c r="F25" s="2"/>
      <c r="G25" s="2"/>
      <c r="H25" s="2"/>
    </row>
    <row r="26" spans="1:8" x14ac:dyDescent="0.25">
      <c r="A26" s="33">
        <v>46319</v>
      </c>
      <c r="B26" s="2" t="s">
        <v>141</v>
      </c>
      <c r="C26" s="2"/>
      <c r="D26" s="2"/>
      <c r="E26" s="2" t="s">
        <v>141</v>
      </c>
      <c r="F26" s="2"/>
      <c r="G26" s="2"/>
      <c r="H26" s="2"/>
    </row>
    <row r="27" spans="1:8" x14ac:dyDescent="0.25">
      <c r="A27" s="32">
        <v>46350</v>
      </c>
      <c r="B27" s="2" t="s">
        <v>141</v>
      </c>
      <c r="E27" s="2" t="s">
        <v>141</v>
      </c>
    </row>
    <row r="28" spans="1:8" x14ac:dyDescent="0.25">
      <c r="A28" s="33">
        <v>46380</v>
      </c>
      <c r="B28" s="2" t="s">
        <v>141</v>
      </c>
      <c r="E28" s="2" t="s">
        <v>141</v>
      </c>
    </row>
    <row r="29" spans="1:8" x14ac:dyDescent="0.25">
      <c r="A29" s="32">
        <v>46411</v>
      </c>
      <c r="B29" s="2" t="s">
        <v>141</v>
      </c>
      <c r="E29" s="2" t="s">
        <v>141</v>
      </c>
    </row>
    <row r="30" spans="1:8" x14ac:dyDescent="0.25">
      <c r="A30" s="33">
        <v>46442</v>
      </c>
      <c r="B30" s="9" t="s">
        <v>141</v>
      </c>
      <c r="C30" s="9"/>
      <c r="D30" s="9"/>
      <c r="E30" s="9" t="s">
        <v>138</v>
      </c>
      <c r="F30" s="9" t="s">
        <v>149</v>
      </c>
      <c r="G30" s="29">
        <v>46435</v>
      </c>
      <c r="H30" s="9" t="s">
        <v>150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&amp;C_x000D_&amp;1#&amp;"Aptos"&amp;10&amp;K0000FF CLASSIFICATION: Public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87722"/>
  </sheetPr>
  <dimension ref="A1:H6"/>
  <sheetViews>
    <sheetView zoomScaleNormal="100" workbookViewId="0">
      <pane ySplit="2" topLeftCell="A3" activePane="bottomLeft" state="frozen"/>
      <selection pane="bottomLeft" activeCell="D5" sqref="D5"/>
    </sheetView>
  </sheetViews>
  <sheetFormatPr defaultColWidth="8.7109375" defaultRowHeight="15" x14ac:dyDescent="0.25"/>
  <cols>
    <col min="1" max="1" width="4" customWidth="1"/>
    <col min="2" max="2" width="38" customWidth="1"/>
    <col min="3" max="3" width="16" customWidth="1"/>
    <col min="4" max="4" width="12" customWidth="1"/>
    <col min="5" max="5" width="52" customWidth="1"/>
    <col min="6" max="6" width="10" customWidth="1"/>
  </cols>
  <sheetData>
    <row r="1" spans="1:8" ht="21.75" customHeight="1" x14ac:dyDescent="0.25">
      <c r="A1" s="36" t="s">
        <v>151</v>
      </c>
      <c r="B1" s="36"/>
      <c r="C1" s="36"/>
      <c r="D1" s="36"/>
      <c r="E1" s="36"/>
      <c r="F1" s="36"/>
      <c r="G1" s="36"/>
      <c r="H1" s="36"/>
    </row>
    <row r="2" spans="1:8" ht="18" customHeight="1" x14ac:dyDescent="0.25">
      <c r="A2" s="1" t="s">
        <v>152</v>
      </c>
      <c r="B2" s="1" t="s">
        <v>153</v>
      </c>
      <c r="C2" s="1" t="s">
        <v>154</v>
      </c>
      <c r="D2" s="1" t="s">
        <v>155</v>
      </c>
      <c r="E2" s="1" t="s">
        <v>156</v>
      </c>
      <c r="F2" s="1" t="s">
        <v>157</v>
      </c>
    </row>
    <row r="3" spans="1:8" ht="38.25" x14ac:dyDescent="0.25">
      <c r="A3" s="2">
        <v>1</v>
      </c>
      <c r="B3" s="2" t="s">
        <v>187</v>
      </c>
      <c r="C3" s="2" t="s">
        <v>184</v>
      </c>
      <c r="D3" s="2" t="s">
        <v>183</v>
      </c>
      <c r="E3" s="2" t="s">
        <v>188</v>
      </c>
      <c r="F3" s="10" t="s">
        <v>182</v>
      </c>
    </row>
    <row r="4" spans="1:8" ht="25.5" x14ac:dyDescent="0.25">
      <c r="A4" s="4">
        <v>2</v>
      </c>
      <c r="B4" s="4" t="s">
        <v>189</v>
      </c>
      <c r="C4" s="4" t="s">
        <v>186</v>
      </c>
      <c r="D4" s="4" t="s">
        <v>185</v>
      </c>
      <c r="E4" s="4" t="s">
        <v>190</v>
      </c>
      <c r="F4" s="10" t="s">
        <v>182</v>
      </c>
    </row>
    <row r="5" spans="1:8" ht="38.25" x14ac:dyDescent="0.25">
      <c r="A5" s="2">
        <v>3</v>
      </c>
      <c r="B5" s="2" t="s">
        <v>191</v>
      </c>
      <c r="C5" s="2" t="s">
        <v>186</v>
      </c>
      <c r="D5" s="2" t="s">
        <v>185</v>
      </c>
      <c r="E5" s="2" t="s">
        <v>194</v>
      </c>
      <c r="F5" s="10" t="s">
        <v>182</v>
      </c>
    </row>
    <row r="6" spans="1:8" ht="38.25" x14ac:dyDescent="0.25">
      <c r="A6" s="2">
        <v>4</v>
      </c>
      <c r="B6" s="2" t="s">
        <v>192</v>
      </c>
      <c r="C6" s="2" t="s">
        <v>186</v>
      </c>
      <c r="D6" s="2" t="s">
        <v>185</v>
      </c>
      <c r="E6" s="2" t="s">
        <v>193</v>
      </c>
      <c r="F6" s="10" t="s">
        <v>182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&amp;C_x000D_&amp;1#&amp;"Aptos"&amp;10&amp;K0000FF CLASSIFICATION: Public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87722"/>
  </sheetPr>
  <dimension ref="A1:U25"/>
  <sheetViews>
    <sheetView zoomScaleNormal="100" workbookViewId="0">
      <pane ySplit="2" topLeftCell="A3" activePane="bottomLeft" state="frozen"/>
      <selection pane="bottomLeft" activeCell="G31" sqref="G31"/>
    </sheetView>
  </sheetViews>
  <sheetFormatPr defaultColWidth="8.7109375" defaultRowHeight="15" x14ac:dyDescent="0.25"/>
  <cols>
    <col min="1" max="1" width="4" customWidth="1"/>
    <col min="2" max="2" width="26" customWidth="1"/>
    <col min="3" max="3" width="16" customWidth="1"/>
    <col min="4" max="7" width="10" customWidth="1"/>
    <col min="8" max="8" width="12" customWidth="1"/>
  </cols>
  <sheetData>
    <row r="1" spans="1:21" ht="21.75" customHeight="1" x14ac:dyDescent="0.25">
      <c r="A1" s="36" t="s">
        <v>158</v>
      </c>
      <c r="B1" s="36"/>
      <c r="C1" s="36"/>
      <c r="D1" s="36"/>
      <c r="E1" s="36"/>
      <c r="F1" s="36"/>
      <c r="G1" s="36"/>
      <c r="H1" s="36"/>
    </row>
    <row r="2" spans="1:21" ht="18" customHeight="1" x14ac:dyDescent="0.25">
      <c r="A2" s="1" t="s">
        <v>152</v>
      </c>
      <c r="B2" s="1" t="s">
        <v>113</v>
      </c>
      <c r="C2" s="1" t="s">
        <v>159</v>
      </c>
      <c r="D2" s="1" t="s">
        <v>160</v>
      </c>
      <c r="E2" s="1" t="s">
        <v>161</v>
      </c>
      <c r="F2" s="1" t="s">
        <v>162</v>
      </c>
      <c r="G2" s="1" t="s">
        <v>163</v>
      </c>
      <c r="H2" s="1" t="s">
        <v>164</v>
      </c>
    </row>
    <row r="3" spans="1:21" ht="15.75" customHeight="1" x14ac:dyDescent="0.25">
      <c r="A3" s="2">
        <v>1</v>
      </c>
      <c r="B3" s="2" t="s">
        <v>196</v>
      </c>
      <c r="C3" s="2" t="s">
        <v>197</v>
      </c>
      <c r="D3" s="2" t="s">
        <v>165</v>
      </c>
      <c r="E3" s="13">
        <v>1</v>
      </c>
      <c r="F3" s="13">
        <v>1</v>
      </c>
      <c r="G3" s="13">
        <v>1</v>
      </c>
      <c r="H3" s="11" t="s">
        <v>166</v>
      </c>
    </row>
    <row r="4" spans="1:21" ht="15.75" customHeight="1" x14ac:dyDescent="0.25">
      <c r="A4" s="4">
        <v>2</v>
      </c>
      <c r="B4" s="4" t="s">
        <v>198</v>
      </c>
      <c r="C4" s="4" t="s">
        <v>199</v>
      </c>
      <c r="D4" s="4" t="s">
        <v>165</v>
      </c>
      <c r="E4" s="34">
        <v>1</v>
      </c>
      <c r="F4" s="34">
        <v>1</v>
      </c>
      <c r="G4" s="34">
        <v>1</v>
      </c>
      <c r="H4" s="11" t="s">
        <v>166</v>
      </c>
    </row>
    <row r="5" spans="1:21" ht="15.75" customHeight="1" x14ac:dyDescent="0.25">
      <c r="A5" s="2">
        <v>3</v>
      </c>
      <c r="B5" s="2" t="s">
        <v>200</v>
      </c>
      <c r="C5" s="2" t="s">
        <v>199</v>
      </c>
      <c r="D5" s="2" t="s">
        <v>165</v>
      </c>
      <c r="E5" s="13">
        <v>1</v>
      </c>
      <c r="F5" s="13">
        <v>1</v>
      </c>
      <c r="G5" s="13">
        <v>1</v>
      </c>
      <c r="H5" s="11" t="s">
        <v>166</v>
      </c>
    </row>
    <row r="6" spans="1:21" ht="15.75" customHeight="1" x14ac:dyDescent="0.25">
      <c r="A6" s="4">
        <v>4</v>
      </c>
      <c r="B6" s="4" t="s">
        <v>201</v>
      </c>
      <c r="C6" s="4" t="s">
        <v>202</v>
      </c>
      <c r="D6" s="4" t="s">
        <v>165</v>
      </c>
      <c r="E6" s="34">
        <v>1</v>
      </c>
      <c r="F6" s="34">
        <v>1</v>
      </c>
      <c r="G6" s="34">
        <v>1</v>
      </c>
      <c r="H6" s="11" t="s">
        <v>166</v>
      </c>
    </row>
    <row r="7" spans="1:21" ht="15.75" customHeight="1" x14ac:dyDescent="0.25">
      <c r="A7" s="2">
        <v>5</v>
      </c>
      <c r="B7" s="2" t="s">
        <v>203</v>
      </c>
      <c r="C7" s="2" t="s">
        <v>204</v>
      </c>
      <c r="D7" s="2" t="s">
        <v>165</v>
      </c>
      <c r="E7" s="13">
        <v>1</v>
      </c>
      <c r="F7" s="13">
        <v>0.9</v>
      </c>
      <c r="G7" s="13">
        <v>0.9</v>
      </c>
      <c r="H7" s="10" t="s">
        <v>205</v>
      </c>
    </row>
    <row r="8" spans="1:21" ht="15.75" customHeight="1" x14ac:dyDescent="0.25">
      <c r="A8" s="4">
        <v>6</v>
      </c>
      <c r="B8" s="4" t="s">
        <v>195</v>
      </c>
      <c r="C8" s="4" t="s">
        <v>204</v>
      </c>
      <c r="D8" s="4" t="s">
        <v>165</v>
      </c>
      <c r="E8" s="34">
        <v>1</v>
      </c>
      <c r="F8" s="34">
        <v>0</v>
      </c>
      <c r="G8" s="34">
        <v>0</v>
      </c>
      <c r="H8" s="10" t="s">
        <v>205</v>
      </c>
    </row>
    <row r="9" spans="1:21" ht="15.75" customHeight="1" x14ac:dyDescent="0.25">
      <c r="A9" s="2">
        <v>7</v>
      </c>
      <c r="B9" s="2" t="s">
        <v>206</v>
      </c>
      <c r="C9" s="2" t="s">
        <v>199</v>
      </c>
      <c r="D9" s="2" t="s">
        <v>165</v>
      </c>
      <c r="E9" s="13">
        <v>0.8</v>
      </c>
      <c r="F9" s="13">
        <v>0</v>
      </c>
      <c r="G9" s="13">
        <v>0</v>
      </c>
      <c r="H9" s="10" t="s">
        <v>205</v>
      </c>
    </row>
    <row r="10" spans="1:21" ht="15.75" customHeight="1" x14ac:dyDescent="0.25">
      <c r="A10" s="4">
        <v>8</v>
      </c>
      <c r="B10" s="4" t="s">
        <v>207</v>
      </c>
      <c r="C10" s="4" t="s">
        <v>208</v>
      </c>
      <c r="D10" s="4" t="s">
        <v>165</v>
      </c>
      <c r="E10" s="34">
        <v>1</v>
      </c>
      <c r="F10" s="34" t="s">
        <v>209</v>
      </c>
      <c r="G10" s="34">
        <v>0.15</v>
      </c>
      <c r="H10" s="10" t="s">
        <v>205</v>
      </c>
    </row>
    <row r="11" spans="1:21" x14ac:dyDescent="0.25">
      <c r="S11" s="31"/>
      <c r="T11" s="31"/>
      <c r="U11" s="31"/>
    </row>
    <row r="12" spans="1:21" x14ac:dyDescent="0.25">
      <c r="S12" s="31"/>
      <c r="T12" s="31"/>
      <c r="U12" s="31"/>
    </row>
    <row r="13" spans="1:21" x14ac:dyDescent="0.25">
      <c r="S13" s="31"/>
      <c r="T13" s="31"/>
      <c r="U13" s="31"/>
    </row>
    <row r="14" spans="1:21" x14ac:dyDescent="0.25">
      <c r="S14" s="31"/>
      <c r="T14" s="31"/>
      <c r="U14" s="31"/>
    </row>
    <row r="15" spans="1:21" x14ac:dyDescent="0.25">
      <c r="S15" s="31"/>
      <c r="T15" s="31"/>
      <c r="U15" s="31"/>
    </row>
    <row r="16" spans="1:21" x14ac:dyDescent="0.25">
      <c r="S16" s="31"/>
      <c r="T16" s="31"/>
      <c r="U16" s="31"/>
    </row>
    <row r="17" spans="19:21" x14ac:dyDescent="0.25">
      <c r="T17" s="31"/>
      <c r="U17" s="31"/>
    </row>
    <row r="18" spans="19:21" x14ac:dyDescent="0.25">
      <c r="S18" s="31"/>
      <c r="U18" s="31"/>
    </row>
    <row r="19" spans="19:21" x14ac:dyDescent="0.25">
      <c r="S19" s="30"/>
    </row>
    <row r="20" spans="19:21" x14ac:dyDescent="0.25">
      <c r="S20" s="30"/>
    </row>
    <row r="21" spans="19:21" x14ac:dyDescent="0.25">
      <c r="S21" s="30"/>
    </row>
    <row r="22" spans="19:21" x14ac:dyDescent="0.25">
      <c r="S22" s="30"/>
    </row>
    <row r="23" spans="19:21" x14ac:dyDescent="0.25">
      <c r="S23" s="30"/>
    </row>
    <row r="24" spans="19:21" x14ac:dyDescent="0.25">
      <c r="S24" s="30"/>
    </row>
    <row r="25" spans="19:21" x14ac:dyDescent="0.25">
      <c r="S25" s="30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&amp;C_x000D_&amp;1#&amp;"Aptos"&amp;10&amp;K0000FF CLASSIFICATION: Public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87722"/>
  </sheetPr>
  <dimension ref="A1:H6"/>
  <sheetViews>
    <sheetView zoomScaleNormal="100" workbookViewId="0">
      <pane ySplit="2" topLeftCell="A3" activePane="bottomLeft" state="frozen"/>
      <selection pane="bottomLeft" activeCell="B6" sqref="B6"/>
    </sheetView>
  </sheetViews>
  <sheetFormatPr defaultColWidth="8.7109375" defaultRowHeight="15" x14ac:dyDescent="0.25"/>
  <cols>
    <col min="1" max="1" width="30" customWidth="1"/>
    <col min="2" max="2" width="50" customWidth="1"/>
  </cols>
  <sheetData>
    <row r="1" spans="1:8" ht="21.75" customHeight="1" x14ac:dyDescent="0.25">
      <c r="A1" s="36" t="s">
        <v>167</v>
      </c>
      <c r="B1" s="36"/>
      <c r="C1" s="36"/>
      <c r="D1" s="36"/>
      <c r="E1" s="36"/>
      <c r="F1" s="36"/>
      <c r="G1" s="36"/>
      <c r="H1" s="36"/>
    </row>
    <row r="2" spans="1:8" ht="18" customHeight="1" x14ac:dyDescent="0.25">
      <c r="A2" s="1" t="s">
        <v>1</v>
      </c>
      <c r="B2" s="1" t="s">
        <v>2</v>
      </c>
    </row>
    <row r="3" spans="1:8" ht="15.75" customHeight="1" x14ac:dyDescent="0.25">
      <c r="A3" s="2" t="s">
        <v>168</v>
      </c>
      <c r="B3" s="3" t="s">
        <v>169</v>
      </c>
    </row>
    <row r="4" spans="1:8" ht="15.75" customHeight="1" x14ac:dyDescent="0.25">
      <c r="A4" s="4" t="s">
        <v>170</v>
      </c>
      <c r="B4" s="12">
        <v>46176</v>
      </c>
    </row>
    <row r="5" spans="1:8" ht="15.75" customHeight="1" x14ac:dyDescent="0.25">
      <c r="A5" s="2" t="s">
        <v>171</v>
      </c>
      <c r="B5" s="3" t="s">
        <v>210</v>
      </c>
    </row>
    <row r="6" spans="1:8" ht="15.75" customHeight="1" x14ac:dyDescent="0.25">
      <c r="A6" s="4" t="s">
        <v>172</v>
      </c>
      <c r="B6" s="3" t="s">
        <v>173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&amp;C_x000D_&amp;1#&amp;"Aptos"&amp;10&amp;K0000FF CLASSIFICATION: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Header</vt:lpstr>
      <vt:lpstr>General_Info</vt:lpstr>
      <vt:lpstr>Commercial_Info</vt:lpstr>
      <vt:lpstr>Budgetary_Info</vt:lpstr>
      <vt:lpstr>Collection_Info</vt:lpstr>
      <vt:lpstr>Cash_Flow</vt:lpstr>
      <vt:lpstr>Manpower</vt:lpstr>
      <vt:lpstr>Project_Phases</vt:lpstr>
      <vt:lpstr>City_Progress</vt:lpstr>
      <vt:lpstr>Timeline</vt:lpstr>
      <vt:lpstr>Major_Issues</vt:lpstr>
      <vt:lpstr>Equipment_Status</vt:lpstr>
      <vt:lpstr>Footer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Ahmed Abdelzaher</cp:lastModifiedBy>
  <cp:revision>0</cp:revision>
  <dcterms:created xsi:type="dcterms:W3CDTF">2026-06-05T19:34:15Z</dcterms:created>
  <dcterms:modified xsi:type="dcterms:W3CDTF">2026-06-06T17:25:06Z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407c91-f24b-4cd4-a76b-785b6c54b38d_Enabled">
    <vt:lpwstr>true</vt:lpwstr>
  </property>
  <property fmtid="{D5CDD505-2E9C-101B-9397-08002B2CF9AE}" pid="3" name="MSIP_Label_6b407c91-f24b-4cd4-a76b-785b6c54b38d_SetDate">
    <vt:lpwstr>2026-06-06T08:28:41Z</vt:lpwstr>
  </property>
  <property fmtid="{D5CDD505-2E9C-101B-9397-08002B2CF9AE}" pid="4" name="MSIP_Label_6b407c91-f24b-4cd4-a76b-785b6c54b38d_Method">
    <vt:lpwstr>Privileged</vt:lpwstr>
  </property>
  <property fmtid="{D5CDD505-2E9C-101B-9397-08002B2CF9AE}" pid="5" name="MSIP_Label_6b407c91-f24b-4cd4-a76b-785b6c54b38d_Name">
    <vt:lpwstr>Public</vt:lpwstr>
  </property>
  <property fmtid="{D5CDD505-2E9C-101B-9397-08002B2CF9AE}" pid="6" name="MSIP_Label_6b407c91-f24b-4cd4-a76b-785b6c54b38d_SiteId">
    <vt:lpwstr>947d9dbe-5f08-4416-96a9-8468f7f8299e</vt:lpwstr>
  </property>
  <property fmtid="{D5CDD505-2E9C-101B-9397-08002B2CF9AE}" pid="7" name="MSIP_Label_6b407c91-f24b-4cd4-a76b-785b6c54b38d_ActionId">
    <vt:lpwstr>baa6c5df-5d2b-42d8-a6b7-00f1e25a06bd</vt:lpwstr>
  </property>
  <property fmtid="{D5CDD505-2E9C-101B-9397-08002B2CF9AE}" pid="8" name="MSIP_Label_6b407c91-f24b-4cd4-a76b-785b6c54b38d_ContentBits">
    <vt:lpwstr>2</vt:lpwstr>
  </property>
  <property fmtid="{D5CDD505-2E9C-101B-9397-08002B2CF9AE}" pid="9" name="MSIP_Label_6b407c91-f24b-4cd4-a76b-785b6c54b38d_Tag">
    <vt:lpwstr>10, 0, 1, 1</vt:lpwstr>
  </property>
</Properties>
</file>