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231" documentId="14_{682A7E4B-1055-4B0F-805D-134F59E89DE5}" xr6:coauthVersionLast="47" xr6:coauthVersionMax="47" xr10:uidLastSave="{0564E0F5-59BA-4BB6-B474-1457848E431B}"/>
  <bookViews>
    <workbookView xWindow="-120" yWindow="-120" windowWidth="29040" windowHeight="17520" tabRatio="500" firstSheet="5" activeTab="5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6" l="1"/>
  <c r="B7" i="7"/>
  <c r="B4" i="7"/>
  <c r="C7" i="5"/>
  <c r="C5" i="5"/>
  <c r="C4" i="5"/>
  <c r="B8" i="5" s="1"/>
  <c r="C3" i="5"/>
  <c r="B9" i="4"/>
  <c r="C9" i="3"/>
  <c r="D7" i="9" l="1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<sst xmlns="http://schemas.openxmlformats.org/spreadsheetml/2006/main" count="341" uniqueCount="211">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</sst>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6" fontId="3" fillId="4" borderId="1" xfId="0" applyNumberFormat="1" applyFont="1" applyFill="1" applyBorder="1" applyAlignment="1">
      <alignment horizontal="left" vertical="center" wrapText="1"/>
    </xf>
    <xf numFmtId="166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9" fontId="3" fillId="6" borderId="1" xfId="2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166" fontId="3" fillId="5" borderId="1" xfId="0" applyNumberFormat="1" applyFont="1" applyFill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174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175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5" t="s">
        <v>9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6">
        <v>45497</v>
      </c>
      <c r="C3" s="2"/>
    </row>
    <row r="4" spans="1:8" ht="15.75" customHeight="1" x14ac:dyDescent="0.25">
      <c r="A4" s="4" t="s">
        <v>13</v>
      </c>
      <c r="B4" s="16">
        <v>45530</v>
      </c>
      <c r="C4" s="4"/>
    </row>
    <row r="5" spans="1:8" ht="15.75" customHeight="1" x14ac:dyDescent="0.25">
      <c r="A5" s="2" t="s">
        <v>14</v>
      </c>
      <c r="B5" s="16">
        <v>45571</v>
      </c>
      <c r="C5" s="2"/>
    </row>
    <row r="6" spans="1:8" ht="15.75" customHeight="1" x14ac:dyDescent="0.25">
      <c r="A6" s="4" t="s">
        <v>15</v>
      </c>
      <c r="B6" s="16">
        <v>45718</v>
      </c>
      <c r="C6" s="4"/>
    </row>
    <row r="7" spans="1:8" ht="15.75" customHeight="1" x14ac:dyDescent="0.25">
      <c r="A7" s="2" t="s">
        <v>16</v>
      </c>
      <c r="B7" s="16">
        <v>45830</v>
      </c>
      <c r="C7" s="2"/>
    </row>
    <row r="8" spans="1:8" ht="15.75" customHeight="1" x14ac:dyDescent="0.25">
      <c r="A8" s="4" t="s">
        <v>17</v>
      </c>
      <c r="B8" s="16">
        <v>46227</v>
      </c>
      <c r="C8" s="4" t="s">
        <v>19</v>
      </c>
    </row>
    <row r="9" spans="1:8" ht="15.75" customHeight="1" x14ac:dyDescent="0.25">
      <c r="A9" s="2" t="s">
        <v>20</v>
      </c>
      <c r="B9" s="16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5" t="s">
        <v>22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5">
        <v>388016486</v>
      </c>
      <c r="C3" s="2"/>
      <c r="D3" s="2"/>
    </row>
    <row r="4" spans="1:8" ht="15.75" customHeight="1" x14ac:dyDescent="0.25">
      <c r="A4" s="4" t="s">
        <v>26</v>
      </c>
      <c r="B4" s="15">
        <v>0</v>
      </c>
      <c r="C4" s="4"/>
      <c r="D4" s="4"/>
    </row>
    <row r="5" spans="1:8" ht="15.75" customHeight="1" x14ac:dyDescent="0.25">
      <c r="A5" s="2" t="s">
        <v>27</v>
      </c>
      <c r="B5" s="15">
        <v>0</v>
      </c>
      <c r="C5" s="2"/>
      <c r="D5" s="2"/>
    </row>
    <row r="6" spans="1:8" ht="15.75" customHeight="1" x14ac:dyDescent="0.25">
      <c r="A6" s="4" t="s">
        <v>28</v>
      </c>
      <c r="B6" s="15">
        <v>0</v>
      </c>
      <c r="C6" s="4"/>
      <c r="D6" s="4"/>
    </row>
    <row r="7" spans="1:8" ht="15.75" customHeight="1" x14ac:dyDescent="0.25">
      <c r="A7" s="2" t="s">
        <v>29</v>
      </c>
      <c r="B7" s="15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5">
        <v>34426811</v>
      </c>
      <c r="C8" s="4"/>
      <c r="D8" s="4"/>
    </row>
    <row r="9" spans="1:8" ht="15.75" customHeight="1" x14ac:dyDescent="0.25">
      <c r="A9" s="2" t="s">
        <v>32</v>
      </c>
      <c r="B9" s="15">
        <v>15596872</v>
      </c>
      <c r="C9" s="13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C6" sqref="C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5" t="s">
        <v>34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8">
        <v>355587125</v>
      </c>
      <c r="C3" s="20"/>
      <c r="D3" s="2" t="s">
        <v>36</v>
      </c>
    </row>
    <row r="4" spans="1:8" ht="15.75" customHeight="1" x14ac:dyDescent="0.25">
      <c r="A4" s="4" t="s">
        <v>37</v>
      </c>
      <c r="B4" s="19" t="s">
        <v>38</v>
      </c>
      <c r="C4" s="21"/>
      <c r="D4" s="4" t="s">
        <v>39</v>
      </c>
    </row>
    <row r="5" spans="1:8" ht="15.75" customHeight="1" x14ac:dyDescent="0.25">
      <c r="A5" s="4" t="s">
        <v>178</v>
      </c>
      <c r="B5" s="19">
        <v>0.68799999999999994</v>
      </c>
      <c r="C5" s="21"/>
      <c r="D5" s="4"/>
    </row>
    <row r="6" spans="1:8" ht="15.75" customHeight="1" x14ac:dyDescent="0.25">
      <c r="A6" s="2" t="s">
        <v>40</v>
      </c>
      <c r="B6" s="19">
        <v>0.40899999999999997</v>
      </c>
      <c r="C6" s="22"/>
      <c r="D6" s="2" t="s">
        <v>41</v>
      </c>
    </row>
    <row r="7" spans="1:8" ht="15.75" customHeight="1" x14ac:dyDescent="0.25">
      <c r="A7" s="4" t="s">
        <v>31</v>
      </c>
      <c r="B7" s="18">
        <v>34426811</v>
      </c>
      <c r="C7" s="21"/>
      <c r="D7" s="4" t="s">
        <v>36</v>
      </c>
    </row>
    <row r="8" spans="1:8" ht="15.75" customHeight="1" x14ac:dyDescent="0.25">
      <c r="A8" s="2" t="s">
        <v>32</v>
      </c>
      <c r="B8" s="18">
        <v>15596872</v>
      </c>
      <c r="C8" s="20"/>
      <c r="D8" s="2" t="s">
        <v>36</v>
      </c>
    </row>
    <row r="9" spans="1:8" ht="15.75" customHeight="1" x14ac:dyDescent="0.25">
      <c r="A9" s="4" t="s">
        <v>42</v>
      </c>
      <c r="B9" s="19">
        <f>(B7-B8)/B7</f>
        <v>0.54695565615996211</v>
      </c>
      <c r="C9" s="21"/>
      <c r="D9" s="4" t="s">
        <v>43</v>
      </c>
    </row>
    <row r="10" spans="1:8" ht="15.75" customHeight="1" x14ac:dyDescent="0.25">
      <c r="A10" s="2" t="s">
        <v>44</v>
      </c>
      <c r="B10" s="17" t="s">
        <v>176</v>
      </c>
      <c r="C10" s="20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5" t="s">
        <v>46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4">
        <v>204059236</v>
      </c>
      <c r="C3" s="13">
        <f>B3/Commercial_Info!$B$3</f>
        <v>0.52590352050144595</v>
      </c>
      <c r="D3" s="2" t="s">
        <v>50</v>
      </c>
      <c r="E3" s="2"/>
      <c r="G3" s="24"/>
    </row>
    <row r="4" spans="1:8" ht="15.75" customHeight="1" x14ac:dyDescent="0.25">
      <c r="A4" s="4" t="s">
        <v>51</v>
      </c>
      <c r="B4" s="14">
        <v>152961744</v>
      </c>
      <c r="C4" s="13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4">
        <v>152961744</v>
      </c>
      <c r="C5" s="13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4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4">
        <v>68039022</v>
      </c>
      <c r="C7" s="13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177</v>
      </c>
      <c r="B8" s="26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tabSelected="1" zoomScale="115" zoomScaleNormal="115" workbookViewId="0">
      <pane ySplit="2" topLeftCell="A3" activePane="bottomLeft" state="frozen"/>
      <selection pane="bottomLeft" activeCell="B5" sqref="B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5" t="s">
        <v>58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v>-61.1</v>
      </c>
      <c r="C3" s="2"/>
      <c r="D3" s="2" t="s">
        <v>62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</row>
    <row r="5" spans="1:8" ht="27" customHeight="1" x14ac:dyDescent="0.25">
      <c r="A5" s="2" t="s">
        <v>66</v>
      </c>
      <c r="B5" s="3">
        <v>68</v>
      </c>
      <c r="C5" s="37">
        <f>(B5/B6)*100</f>
        <v>52.631578947368432</v>
      </c>
      <c r="D5" s="2" t="s">
        <v>67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5" t="s">
        <v>70</v>
      </c>
      <c r="B1" s="35"/>
      <c r="C1" s="35"/>
      <c r="D1" s="35"/>
      <c r="E1" s="35"/>
      <c r="F1" s="35"/>
      <c r="G1" s="35"/>
      <c r="H1" s="35"/>
    </row>
    <row r="2" spans="1:8" ht="15" customHeight="1" x14ac:dyDescent="0.25">
      <c r="A2" s="36" t="s">
        <v>71</v>
      </c>
      <c r="B2" s="36"/>
      <c r="C2" s="36"/>
      <c r="D2" s="36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5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6" t="s">
        <v>80</v>
      </c>
      <c r="B9" s="36"/>
      <c r="C9" s="36"/>
      <c r="D9" s="36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6" t="s">
        <v>86</v>
      </c>
      <c r="B14" s="36"/>
      <c r="C14" s="36"/>
      <c r="D14" s="36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5" t="s">
        <v>101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7">
        <v>92.78</v>
      </c>
      <c r="C3" s="27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28">
        <v>100</v>
      </c>
      <c r="C4" s="28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7">
        <v>100</v>
      </c>
      <c r="C5" s="27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28">
        <v>95.92</v>
      </c>
      <c r="C6" s="28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7">
        <v>100</v>
      </c>
      <c r="C7" s="27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28">
        <v>68.05</v>
      </c>
      <c r="C8" s="28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5" t="s">
        <v>120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="115" zoomScaleNormal="115" workbookViewId="0">
      <pane ySplit="2" topLeftCell="A8" activePane="bottomLeft" state="frozen"/>
      <selection pane="bottomLeft" activeCell="C13" sqref="C13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5" t="s">
        <v>130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32">
        <v>45620</v>
      </c>
      <c r="B3" s="2" t="s">
        <v>138</v>
      </c>
      <c r="C3" s="2" t="s">
        <v>139</v>
      </c>
      <c r="D3" s="2" t="s">
        <v>140</v>
      </c>
      <c r="E3" s="2" t="s">
        <v>141</v>
      </c>
      <c r="F3" s="2"/>
      <c r="G3" s="2"/>
      <c r="H3" s="2" t="s">
        <v>142</v>
      </c>
    </row>
    <row r="4" spans="1:8" ht="15.75" customHeight="1" x14ac:dyDescent="0.25">
      <c r="A4" s="33">
        <v>45650</v>
      </c>
      <c r="B4" s="4" t="s">
        <v>141</v>
      </c>
      <c r="C4" s="4"/>
      <c r="D4" s="4"/>
      <c r="E4" s="4" t="s">
        <v>141</v>
      </c>
      <c r="F4" s="4"/>
      <c r="G4" s="4"/>
      <c r="H4" s="4"/>
    </row>
    <row r="5" spans="1:8" ht="15.75" customHeight="1" x14ac:dyDescent="0.25">
      <c r="A5" s="32">
        <v>45681</v>
      </c>
      <c r="B5" s="2" t="s">
        <v>141</v>
      </c>
      <c r="C5" s="2"/>
      <c r="D5" s="2"/>
      <c r="E5" s="2" t="s">
        <v>141</v>
      </c>
      <c r="F5" s="2"/>
      <c r="G5" s="2"/>
      <c r="H5" s="2"/>
    </row>
    <row r="6" spans="1:8" ht="15.75" customHeight="1" x14ac:dyDescent="0.25">
      <c r="A6" s="33">
        <v>45712</v>
      </c>
      <c r="B6" s="4" t="s">
        <v>141</v>
      </c>
      <c r="C6" s="4"/>
      <c r="D6" s="4"/>
      <c r="E6" s="4" t="s">
        <v>141</v>
      </c>
      <c r="F6" s="4"/>
      <c r="G6" s="4"/>
      <c r="H6" s="4"/>
    </row>
    <row r="7" spans="1:8" ht="15.75" customHeight="1" x14ac:dyDescent="0.25">
      <c r="A7" s="32">
        <v>45740</v>
      </c>
      <c r="B7" s="2" t="s">
        <v>138</v>
      </c>
      <c r="C7" s="2" t="s">
        <v>143</v>
      </c>
      <c r="D7" s="2" t="s">
        <v>140</v>
      </c>
      <c r="E7" s="2" t="s">
        <v>141</v>
      </c>
      <c r="F7" s="2"/>
      <c r="G7" s="2"/>
      <c r="H7" s="2"/>
    </row>
    <row r="8" spans="1:8" ht="15.75" customHeight="1" x14ac:dyDescent="0.25">
      <c r="A8" s="33">
        <v>45771</v>
      </c>
      <c r="B8" s="4" t="s">
        <v>138</v>
      </c>
      <c r="C8" s="4" t="s">
        <v>144</v>
      </c>
      <c r="D8" s="4" t="s">
        <v>145</v>
      </c>
      <c r="E8" s="4" t="s">
        <v>141</v>
      </c>
      <c r="F8" s="4"/>
      <c r="G8" s="4"/>
      <c r="H8" s="4" t="s">
        <v>146</v>
      </c>
    </row>
    <row r="9" spans="1:8" ht="15.75" customHeight="1" x14ac:dyDescent="0.25">
      <c r="A9" s="32">
        <v>45801</v>
      </c>
      <c r="B9" s="2" t="s">
        <v>141</v>
      </c>
      <c r="C9" s="2"/>
      <c r="D9" s="2"/>
      <c r="E9" s="2" t="s">
        <v>141</v>
      </c>
      <c r="F9" s="2"/>
      <c r="G9" s="2"/>
      <c r="H9" s="2"/>
    </row>
    <row r="10" spans="1:8" ht="15.75" customHeight="1" x14ac:dyDescent="0.25">
      <c r="A10" s="33">
        <v>45832</v>
      </c>
      <c r="B10" s="4" t="s">
        <v>138</v>
      </c>
      <c r="C10" s="4" t="s">
        <v>147</v>
      </c>
      <c r="D10" s="4" t="s">
        <v>140</v>
      </c>
      <c r="E10" s="4" t="s">
        <v>141</v>
      </c>
      <c r="F10" s="4"/>
      <c r="G10" s="4"/>
      <c r="H10" s="4"/>
    </row>
    <row r="11" spans="1:8" ht="15.75" customHeight="1" x14ac:dyDescent="0.25">
      <c r="A11" s="32">
        <v>45862</v>
      </c>
      <c r="B11" s="2" t="s">
        <v>141</v>
      </c>
      <c r="C11" s="2"/>
      <c r="D11" s="2"/>
      <c r="E11" s="2" t="s">
        <v>141</v>
      </c>
      <c r="F11" s="2"/>
      <c r="G11" s="2"/>
      <c r="H11" s="2"/>
    </row>
    <row r="12" spans="1:8" ht="15.75" customHeight="1" x14ac:dyDescent="0.25">
      <c r="A12" s="33">
        <v>45893</v>
      </c>
      <c r="B12" s="4" t="s">
        <v>141</v>
      </c>
      <c r="C12" s="4"/>
      <c r="D12" s="4"/>
      <c r="E12" s="4" t="s">
        <v>141</v>
      </c>
      <c r="F12" s="4"/>
      <c r="G12" s="4"/>
      <c r="H12" s="4"/>
    </row>
    <row r="13" spans="1:8" ht="25.5" x14ac:dyDescent="0.25">
      <c r="A13" s="32">
        <v>45924</v>
      </c>
      <c r="B13" s="2" t="s">
        <v>138</v>
      </c>
      <c r="C13" s="2" t="s">
        <v>179</v>
      </c>
      <c r="D13" s="2" t="s">
        <v>145</v>
      </c>
      <c r="E13" s="2" t="s">
        <v>141</v>
      </c>
      <c r="F13" s="2"/>
      <c r="G13" s="2"/>
      <c r="H13" s="2"/>
    </row>
    <row r="14" spans="1:8" ht="25.5" x14ac:dyDescent="0.25">
      <c r="A14" s="33">
        <v>45954</v>
      </c>
      <c r="B14" s="4" t="s">
        <v>138</v>
      </c>
      <c r="C14" s="4" t="s">
        <v>180</v>
      </c>
      <c r="D14" s="4" t="s">
        <v>140</v>
      </c>
      <c r="E14" s="4" t="s">
        <v>141</v>
      </c>
      <c r="F14" s="4"/>
      <c r="G14" s="4"/>
      <c r="H14" s="4"/>
    </row>
    <row r="15" spans="1:8" ht="15.75" customHeight="1" x14ac:dyDescent="0.25">
      <c r="A15" s="32">
        <v>45985</v>
      </c>
      <c r="B15" s="2" t="s">
        <v>141</v>
      </c>
      <c r="C15" s="2"/>
      <c r="D15" s="2"/>
      <c r="E15" s="2" t="s">
        <v>141</v>
      </c>
      <c r="F15" s="2"/>
      <c r="G15" s="2"/>
      <c r="H15" s="2"/>
    </row>
    <row r="16" spans="1:8" ht="15.75" customHeight="1" x14ac:dyDescent="0.25">
      <c r="A16" s="33">
        <v>46015</v>
      </c>
      <c r="B16" s="4" t="s">
        <v>138</v>
      </c>
      <c r="C16" s="4" t="s">
        <v>181</v>
      </c>
      <c r="D16" s="4" t="s">
        <v>145</v>
      </c>
      <c r="E16" s="4" t="s">
        <v>141</v>
      </c>
      <c r="F16" s="4"/>
      <c r="G16" s="4"/>
      <c r="H16" s="4"/>
    </row>
    <row r="17" spans="1:8" ht="15.75" customHeight="1" x14ac:dyDescent="0.25">
      <c r="A17" s="32">
        <v>46046</v>
      </c>
      <c r="B17" s="2" t="s">
        <v>141</v>
      </c>
      <c r="C17" s="2"/>
      <c r="D17" s="2"/>
      <c r="E17" s="2" t="s">
        <v>141</v>
      </c>
      <c r="F17" s="2"/>
      <c r="G17" s="2"/>
      <c r="H17" s="2"/>
    </row>
    <row r="18" spans="1:8" ht="15.75" customHeight="1" x14ac:dyDescent="0.25">
      <c r="A18" s="33">
        <v>46077</v>
      </c>
      <c r="B18" s="4" t="s">
        <v>141</v>
      </c>
      <c r="C18" s="4"/>
      <c r="D18" s="4"/>
      <c r="E18" s="4" t="s">
        <v>141</v>
      </c>
      <c r="F18" s="4"/>
      <c r="G18" s="4"/>
      <c r="H18" s="4"/>
    </row>
    <row r="19" spans="1:8" ht="15.75" customHeight="1" x14ac:dyDescent="0.25">
      <c r="A19" s="32">
        <v>46105</v>
      </c>
      <c r="B19" s="2" t="s">
        <v>141</v>
      </c>
      <c r="C19" s="2"/>
      <c r="D19" s="2"/>
      <c r="E19" s="2" t="s">
        <v>141</v>
      </c>
      <c r="F19" s="2"/>
      <c r="G19" s="2"/>
      <c r="H19" s="2"/>
    </row>
    <row r="20" spans="1:8" ht="15.75" customHeight="1" x14ac:dyDescent="0.25">
      <c r="A20" s="33">
        <v>46136</v>
      </c>
      <c r="B20" s="2" t="s">
        <v>141</v>
      </c>
      <c r="C20" s="2"/>
      <c r="D20" s="2"/>
      <c r="E20" s="2" t="s">
        <v>141</v>
      </c>
      <c r="F20" s="2"/>
      <c r="G20" s="2"/>
      <c r="H20" s="2"/>
    </row>
    <row r="21" spans="1:8" ht="15.75" customHeight="1" x14ac:dyDescent="0.25">
      <c r="A21" s="32">
        <v>46166</v>
      </c>
      <c r="B21" s="2" t="s">
        <v>141</v>
      </c>
      <c r="C21" s="2"/>
      <c r="D21" s="2"/>
      <c r="E21" s="2" t="s">
        <v>141</v>
      </c>
      <c r="F21" s="2"/>
      <c r="G21" s="2"/>
      <c r="H21" s="2"/>
    </row>
    <row r="22" spans="1:8" ht="15.75" customHeight="1" x14ac:dyDescent="0.25">
      <c r="A22" s="33">
        <v>46197</v>
      </c>
      <c r="B22" s="2" t="s">
        <v>141</v>
      </c>
      <c r="C22" s="2"/>
      <c r="D22" s="2"/>
      <c r="E22" s="2" t="s">
        <v>138</v>
      </c>
      <c r="F22" s="2"/>
      <c r="G22" s="2"/>
      <c r="H22" s="2"/>
    </row>
    <row r="23" spans="1:8" x14ac:dyDescent="0.25">
      <c r="A23" s="32">
        <v>46227</v>
      </c>
      <c r="B23" s="8" t="s">
        <v>141</v>
      </c>
      <c r="C23" s="8"/>
      <c r="D23" s="8"/>
      <c r="E23" s="8" t="s">
        <v>138</v>
      </c>
      <c r="F23" s="8" t="s">
        <v>17</v>
      </c>
      <c r="G23" s="8" t="s">
        <v>18</v>
      </c>
      <c r="H23" s="8" t="s">
        <v>148</v>
      </c>
    </row>
    <row r="24" spans="1:8" x14ac:dyDescent="0.25">
      <c r="A24" s="33">
        <v>46258</v>
      </c>
      <c r="B24" s="2" t="s">
        <v>141</v>
      </c>
      <c r="C24" s="2"/>
      <c r="D24" s="2"/>
      <c r="E24" s="2" t="s">
        <v>141</v>
      </c>
      <c r="F24" s="2"/>
      <c r="G24" s="2"/>
      <c r="H24" s="2"/>
    </row>
    <row r="25" spans="1:8" x14ac:dyDescent="0.25">
      <c r="A25" s="32">
        <v>46289</v>
      </c>
      <c r="B25" s="2" t="s">
        <v>141</v>
      </c>
      <c r="C25" s="2"/>
      <c r="D25" s="2"/>
      <c r="E25" s="2" t="s">
        <v>141</v>
      </c>
      <c r="F25" s="2"/>
      <c r="G25" s="2"/>
      <c r="H25" s="2"/>
    </row>
    <row r="26" spans="1:8" x14ac:dyDescent="0.25">
      <c r="A26" s="33">
        <v>46319</v>
      </c>
      <c r="B26" s="2" t="s">
        <v>141</v>
      </c>
      <c r="C26" s="2"/>
      <c r="D26" s="2"/>
      <c r="E26" s="2" t="s">
        <v>141</v>
      </c>
      <c r="F26" s="2"/>
      <c r="G26" s="2"/>
      <c r="H26" s="2"/>
    </row>
    <row r="27" spans="1:8" x14ac:dyDescent="0.25">
      <c r="A27" s="32">
        <v>46350</v>
      </c>
      <c r="B27" s="2" t="s">
        <v>141</v>
      </c>
      <c r="E27" s="2" t="s">
        <v>141</v>
      </c>
    </row>
    <row r="28" spans="1:8" x14ac:dyDescent="0.25">
      <c r="A28" s="33">
        <v>46380</v>
      </c>
      <c r="B28" s="2" t="s">
        <v>141</v>
      </c>
      <c r="E28" s="2" t="s">
        <v>141</v>
      </c>
    </row>
    <row r="29" spans="1:8" x14ac:dyDescent="0.25">
      <c r="A29" s="32">
        <v>46411</v>
      </c>
      <c r="B29" s="2" t="s">
        <v>141</v>
      </c>
      <c r="E29" s="2" t="s">
        <v>141</v>
      </c>
    </row>
    <row r="30" spans="1:8" x14ac:dyDescent="0.25">
      <c r="A30" s="33">
        <v>46442</v>
      </c>
      <c r="B30" s="9" t="s">
        <v>141</v>
      </c>
      <c r="C30" s="9"/>
      <c r="D30" s="9"/>
      <c r="E30" s="9" t="s">
        <v>138</v>
      </c>
      <c r="F30" s="9" t="s">
        <v>149</v>
      </c>
      <c r="G30" s="29">
        <v>46435</v>
      </c>
      <c r="H30" s="9" t="s">
        <v>150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5" t="s">
        <v>151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152</v>
      </c>
      <c r="B2" s="1" t="s">
        <v>153</v>
      </c>
      <c r="C2" s="1" t="s">
        <v>154</v>
      </c>
      <c r="D2" s="1" t="s">
        <v>155</v>
      </c>
      <c r="E2" s="1" t="s">
        <v>156</v>
      </c>
      <c r="F2" s="1" t="s">
        <v>157</v>
      </c>
    </row>
    <row r="3" spans="1:8" ht="38.25" x14ac:dyDescent="0.25">
      <c r="A3" s="2">
        <v>1</v>
      </c>
      <c r="B3" s="2" t="s">
        <v>187</v>
      </c>
      <c r="C3" s="2" t="s">
        <v>184</v>
      </c>
      <c r="D3" s="2" t="s">
        <v>183</v>
      </c>
      <c r="E3" s="2" t="s">
        <v>188</v>
      </c>
      <c r="F3" s="10" t="s">
        <v>182</v>
      </c>
    </row>
    <row r="4" spans="1:8" ht="25.5" x14ac:dyDescent="0.25">
      <c r="A4" s="4">
        <v>2</v>
      </c>
      <c r="B4" s="4" t="s">
        <v>189</v>
      </c>
      <c r="C4" s="4" t="s">
        <v>186</v>
      </c>
      <c r="D4" s="4" t="s">
        <v>185</v>
      </c>
      <c r="E4" s="4" t="s">
        <v>190</v>
      </c>
      <c r="F4" s="10" t="s">
        <v>182</v>
      </c>
    </row>
    <row r="5" spans="1:8" ht="38.25" x14ac:dyDescent="0.25">
      <c r="A5" s="2">
        <v>3</v>
      </c>
      <c r="B5" s="2" t="s">
        <v>191</v>
      </c>
      <c r="C5" s="2" t="s">
        <v>186</v>
      </c>
      <c r="D5" s="2" t="s">
        <v>185</v>
      </c>
      <c r="E5" s="2" t="s">
        <v>194</v>
      </c>
      <c r="F5" s="10" t="s">
        <v>182</v>
      </c>
    </row>
    <row r="6" spans="1:8" ht="38.25" x14ac:dyDescent="0.25">
      <c r="A6" s="2">
        <v>4</v>
      </c>
      <c r="B6" s="2" t="s">
        <v>192</v>
      </c>
      <c r="C6" s="2" t="s">
        <v>186</v>
      </c>
      <c r="D6" s="2" t="s">
        <v>185</v>
      </c>
      <c r="E6" s="2" t="s">
        <v>193</v>
      </c>
      <c r="F6" s="10" t="s">
        <v>182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G31" sqref="G3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5" t="s">
        <v>158</v>
      </c>
      <c r="B1" s="35"/>
      <c r="C1" s="35"/>
      <c r="D1" s="35"/>
      <c r="E1" s="35"/>
      <c r="F1" s="35"/>
      <c r="G1" s="35"/>
      <c r="H1" s="35"/>
    </row>
    <row r="2" spans="1:21" ht="18" customHeight="1" x14ac:dyDescent="0.25">
      <c r="A2" s="1" t="s">
        <v>152</v>
      </c>
      <c r="B2" s="1" t="s">
        <v>113</v>
      </c>
      <c r="C2" s="1" t="s">
        <v>159</v>
      </c>
      <c r="D2" s="1" t="s">
        <v>160</v>
      </c>
      <c r="E2" s="1" t="s">
        <v>161</v>
      </c>
      <c r="F2" s="1" t="s">
        <v>162</v>
      </c>
      <c r="G2" s="1" t="s">
        <v>163</v>
      </c>
      <c r="H2" s="1" t="s">
        <v>164</v>
      </c>
    </row>
    <row r="3" spans="1:21" ht="15.75" customHeight="1" x14ac:dyDescent="0.25">
      <c r="A3" s="2">
        <v>1</v>
      </c>
      <c r="B3" s="2" t="s">
        <v>196</v>
      </c>
      <c r="C3" s="2" t="s">
        <v>197</v>
      </c>
      <c r="D3" s="2" t="s">
        <v>165</v>
      </c>
      <c r="E3" s="13">
        <v>1</v>
      </c>
      <c r="F3" s="13">
        <v>1</v>
      </c>
      <c r="G3" s="13">
        <v>1</v>
      </c>
      <c r="H3" s="11" t="s">
        <v>166</v>
      </c>
    </row>
    <row r="4" spans="1:21" ht="15.75" customHeight="1" x14ac:dyDescent="0.25">
      <c r="A4" s="4">
        <v>2</v>
      </c>
      <c r="B4" s="4" t="s">
        <v>198</v>
      </c>
      <c r="C4" s="4" t="s">
        <v>199</v>
      </c>
      <c r="D4" s="4" t="s">
        <v>165</v>
      </c>
      <c r="E4" s="34">
        <v>1</v>
      </c>
      <c r="F4" s="34">
        <v>1</v>
      </c>
      <c r="G4" s="34">
        <v>1</v>
      </c>
      <c r="H4" s="11" t="s">
        <v>166</v>
      </c>
    </row>
    <row r="5" spans="1:21" ht="15.75" customHeight="1" x14ac:dyDescent="0.25">
      <c r="A5" s="2">
        <v>3</v>
      </c>
      <c r="B5" s="2" t="s">
        <v>200</v>
      </c>
      <c r="C5" s="2" t="s">
        <v>199</v>
      </c>
      <c r="D5" s="2" t="s">
        <v>165</v>
      </c>
      <c r="E5" s="13">
        <v>1</v>
      </c>
      <c r="F5" s="13">
        <v>1</v>
      </c>
      <c r="G5" s="13">
        <v>1</v>
      </c>
      <c r="H5" s="11" t="s">
        <v>166</v>
      </c>
    </row>
    <row r="6" spans="1:21" ht="15.75" customHeight="1" x14ac:dyDescent="0.25">
      <c r="A6" s="4">
        <v>4</v>
      </c>
      <c r="B6" s="4" t="s">
        <v>201</v>
      </c>
      <c r="C6" s="4" t="s">
        <v>202</v>
      </c>
      <c r="D6" s="4" t="s">
        <v>165</v>
      </c>
      <c r="E6" s="34">
        <v>1</v>
      </c>
      <c r="F6" s="34">
        <v>1</v>
      </c>
      <c r="G6" s="34">
        <v>1</v>
      </c>
      <c r="H6" s="11" t="s">
        <v>166</v>
      </c>
    </row>
    <row r="7" spans="1:21" ht="15.75" customHeight="1" x14ac:dyDescent="0.25">
      <c r="A7" s="2">
        <v>5</v>
      </c>
      <c r="B7" s="2" t="s">
        <v>203</v>
      </c>
      <c r="C7" s="2" t="s">
        <v>204</v>
      </c>
      <c r="D7" s="2" t="s">
        <v>165</v>
      </c>
      <c r="E7" s="13">
        <v>1</v>
      </c>
      <c r="F7" s="13">
        <v>0.9</v>
      </c>
      <c r="G7" s="13">
        <v>0.9</v>
      </c>
      <c r="H7" s="10" t="s">
        <v>205</v>
      </c>
    </row>
    <row r="8" spans="1:21" ht="15.75" customHeight="1" x14ac:dyDescent="0.25">
      <c r="A8" s="4">
        <v>6</v>
      </c>
      <c r="B8" s="4" t="s">
        <v>195</v>
      </c>
      <c r="C8" s="4" t="s">
        <v>204</v>
      </c>
      <c r="D8" s="4" t="s">
        <v>165</v>
      </c>
      <c r="E8" s="34">
        <v>1</v>
      </c>
      <c r="F8" s="34">
        <v>0</v>
      </c>
      <c r="G8" s="34">
        <v>0</v>
      </c>
      <c r="H8" s="10" t="s">
        <v>205</v>
      </c>
    </row>
    <row r="9" spans="1:21" ht="15.75" customHeight="1" x14ac:dyDescent="0.25">
      <c r="A9" s="2">
        <v>7</v>
      </c>
      <c r="B9" s="2" t="s">
        <v>206</v>
      </c>
      <c r="C9" s="2" t="s">
        <v>199</v>
      </c>
      <c r="D9" s="2" t="s">
        <v>165</v>
      </c>
      <c r="E9" s="13">
        <v>0.8</v>
      </c>
      <c r="F9" s="13">
        <v>0</v>
      </c>
      <c r="G9" s="13">
        <v>0</v>
      </c>
      <c r="H9" s="10" t="s">
        <v>205</v>
      </c>
    </row>
    <row r="10" spans="1:21" ht="15.75" customHeight="1" x14ac:dyDescent="0.25">
      <c r="A10" s="4">
        <v>8</v>
      </c>
      <c r="B10" s="4" t="s">
        <v>207</v>
      </c>
      <c r="C10" s="4" t="s">
        <v>208</v>
      </c>
      <c r="D10" s="4" t="s">
        <v>165</v>
      </c>
      <c r="E10" s="34">
        <v>1</v>
      </c>
      <c r="F10" s="34" t="s">
        <v>209</v>
      </c>
      <c r="G10" s="34">
        <v>0.15</v>
      </c>
      <c r="H10" s="10" t="s">
        <v>205</v>
      </c>
    </row>
    <row r="11" spans="1:21" x14ac:dyDescent="0.25">
      <c r="S11" s="31"/>
      <c r="T11" s="31"/>
      <c r="U11" s="31"/>
    </row>
    <row r="12" spans="1:21" x14ac:dyDescent="0.25">
      <c r="S12" s="31"/>
      <c r="T12" s="31"/>
      <c r="U12" s="31"/>
    </row>
    <row r="13" spans="1:21" x14ac:dyDescent="0.25">
      <c r="S13" s="31"/>
      <c r="T13" s="31"/>
      <c r="U13" s="31"/>
    </row>
    <row r="14" spans="1:21" x14ac:dyDescent="0.25">
      <c r="S14" s="31"/>
      <c r="T14" s="31"/>
      <c r="U14" s="31"/>
    </row>
    <row r="15" spans="1:21" x14ac:dyDescent="0.25">
      <c r="S15" s="31"/>
      <c r="T15" s="31"/>
      <c r="U15" s="31"/>
    </row>
    <row r="16" spans="1:21" x14ac:dyDescent="0.25">
      <c r="S16" s="31"/>
      <c r="T16" s="31"/>
      <c r="U16" s="31"/>
    </row>
    <row r="17" spans="19:21" x14ac:dyDescent="0.25">
      <c r="T17" s="31"/>
      <c r="U17" s="31"/>
    </row>
    <row r="18" spans="19:21" x14ac:dyDescent="0.25">
      <c r="S18" s="31"/>
      <c r="U18" s="31"/>
    </row>
    <row r="19" spans="19:21" x14ac:dyDescent="0.25">
      <c r="S19" s="30"/>
    </row>
    <row r="20" spans="19:21" x14ac:dyDescent="0.25">
      <c r="S20" s="30"/>
    </row>
    <row r="21" spans="19:21" x14ac:dyDescent="0.25">
      <c r="S21" s="30"/>
    </row>
    <row r="22" spans="19:21" x14ac:dyDescent="0.25">
      <c r="S22" s="30"/>
    </row>
    <row r="23" spans="19:21" x14ac:dyDescent="0.25">
      <c r="S23" s="30"/>
    </row>
    <row r="24" spans="19:21" x14ac:dyDescent="0.25">
      <c r="S24" s="30"/>
    </row>
    <row r="25" spans="19:21" x14ac:dyDescent="0.25">
      <c r="S25" s="30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5" t="s">
        <v>167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168</v>
      </c>
      <c r="B3" s="3" t="s">
        <v>169</v>
      </c>
    </row>
    <row r="4" spans="1:8" ht="15.75" customHeight="1" x14ac:dyDescent="0.25">
      <c r="A4" s="4" t="s">
        <v>170</v>
      </c>
      <c r="B4" s="12">
        <v>46176</v>
      </c>
    </row>
    <row r="5" spans="1:8" ht="15.75" customHeight="1" x14ac:dyDescent="0.25">
      <c r="A5" s="2" t="s">
        <v>171</v>
      </c>
      <c r="B5" s="3" t="s">
        <v>210</v>
      </c>
    </row>
    <row r="6" spans="1:8" ht="15.75" customHeight="1" x14ac:dyDescent="0.25">
      <c r="A6" s="4" t="s">
        <v>172</v>
      </c>
      <c r="B6" s="3" t="s">
        <v>173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2026-06-06T16:49:15Z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